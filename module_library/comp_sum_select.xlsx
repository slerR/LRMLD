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LRMLD\module_library\"/>
    </mc:Choice>
  </mc:AlternateContent>
  <xr:revisionPtr revIDLastSave="0" documentId="13_ncr:1_{CA8207AC-ED92-43BA-ABC7-D60F99CCF1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5" i="1" l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P43" i="1"/>
  <c r="O39" i="1"/>
  <c r="P44" i="1"/>
  <c r="O44" i="1"/>
  <c r="O45" i="1"/>
  <c r="P45" i="1"/>
  <c r="O43" i="1"/>
  <c r="O42" i="1"/>
  <c r="O40" i="1"/>
  <c r="P40" i="1"/>
  <c r="P41" i="1"/>
  <c r="P42" i="1"/>
  <c r="P39" i="1"/>
  <c r="O41" i="1"/>
</calcChain>
</file>

<file path=xl/sharedStrings.xml><?xml version="1.0" encoding="utf-8"?>
<sst xmlns="http://schemas.openxmlformats.org/spreadsheetml/2006/main" count="148" uniqueCount="54">
  <si>
    <t>LUT</t>
  </si>
  <si>
    <t>FF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</si>
  <si>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</si>
  <si>
    <t>Параметры входных данных</t>
  </si>
  <si>
    <t>M_W, бит</t>
  </si>
  <si>
    <t>L_W, бит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</si>
  <si>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  <r>
      <rPr>
        <sz val="14"/>
        <color theme="1"/>
        <rFont val="Times New Roman"/>
        <family val="1"/>
        <charset val="204"/>
      </rPr>
      <t>, МГц</t>
    </r>
  </si>
  <si>
    <t>Плата:</t>
  </si>
  <si>
    <t>xcku035-fbva676-1-i (active)</t>
  </si>
  <si>
    <t>sum_select_8 c индексами, насыщением</t>
  </si>
  <si>
    <t>sum_select_16</t>
  </si>
  <si>
    <t>sum_select_12</t>
  </si>
  <si>
    <t>Задержка, такты: 3</t>
  </si>
  <si>
    <t>Задержка, такты: 11</t>
  </si>
  <si>
    <t>Задержка, такты: 6</t>
  </si>
  <si>
    <t>Задержка, такты: 9</t>
  </si>
  <si>
    <t>sum_select_12, + входная регистрация в bitonic_merge</t>
  </si>
  <si>
    <t>Задержка, такты: 13</t>
  </si>
  <si>
    <t>sum_select_16, + входная регистрация в bitonic_merge</t>
  </si>
  <si>
    <t>в данном модуле входы - списки по 4 элемента, а не 8, перепутал обозначения(</t>
  </si>
  <si>
    <t>sum_select_4  - решение коллег, но с задержкой a0b0, насыщением</t>
  </si>
  <si>
    <t>sum_select_4 - замена метрик на индексы, добавлено насыщение</t>
  </si>
  <si>
    <t>Задержка, такты: 7</t>
  </si>
  <si>
    <t>sum_select8</t>
  </si>
  <si>
    <t>Базовые блоки</t>
  </si>
  <si>
    <t>↑</t>
  </si>
  <si>
    <t>Задержка, такты: 1 + log2(N)</t>
  </si>
  <si>
    <t>N</t>
  </si>
  <si>
    <t>bitonic_sort с регистрацией только больших стадий и индексами меток</t>
  </si>
  <si>
    <t xml:space="preserve">bitonic_sort с регистрацией всех стадий и индексами меток + SRL </t>
  </si>
  <si>
    <t>M_W = 10
 L_W = 16</t>
  </si>
  <si>
    <t>N1 И N2</t>
  </si>
  <si>
    <t>full_sum_lists</t>
  </si>
  <si>
    <t>L</t>
  </si>
  <si>
    <t xml:space="preserve">M_W = 10
 L_W = 16
</t>
  </si>
  <si>
    <t>merge_2n_n</t>
  </si>
  <si>
    <t>merge_tree</t>
  </si>
  <si>
    <t>M_W = 10
 L_W = 16
L = 8</t>
  </si>
  <si>
    <t>N_L</t>
  </si>
  <si>
    <t>comb</t>
  </si>
  <si>
    <t>N1</t>
  </si>
  <si>
    <t>N2</t>
  </si>
  <si>
    <t>N_COS</t>
  </si>
  <si>
    <t>N_U</t>
  </si>
  <si>
    <t>M_W = 10
 L_W = 16
IS_FSM = 0</t>
  </si>
  <si>
    <t>LUT,%</t>
  </si>
  <si>
    <t>FF,%</t>
  </si>
  <si>
    <t>M_W = 10
 L_W = 16
IS_FSM = 1
Latency + N_U cycles</t>
  </si>
  <si>
    <t>Reduce resources</t>
  </si>
  <si>
    <t>top_comb</t>
  </si>
  <si>
    <t xml:space="preserve">M_W = 10
 L_W = 32
</t>
  </si>
  <si>
    <t>table_sort</t>
  </si>
  <si>
    <t xml:space="preserve">M_W = 10
 L_W = 4
</t>
  </si>
  <si>
    <t xml:space="preserve">M_W = 10
 L_W = 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</si>
</sst>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  <font>
      <b/>
      <sz val="18"/>
      <color theme="1"/>
      <name val="Aptos Narrow"/>
      <family val="2"/>
    </font>
    <font>
      <b/>
      <sz val="2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00000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/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medium">
        <color rgb="FFC00000"/>
      </right>
      <top style="medium">
        <color rgb="FFC00000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/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medium">
        <color rgb="FFC00000"/>
      </bottom>
      <diagonal/>
    </border>
    <border>
      <left/>
      <right/>
      <top style="medium">
        <color rgb="FFC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2" fontId="1" fillId="0" borderId="20" xfId="0" applyNumberFormat="1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 wrapText="1"/>
    </xf>
    <xf numFmtId="0" fontId="1" fillId="0" borderId="52" xfId="0" applyFont="1" applyBorder="1" applyAlignment="1">
      <alignment horizontal="center" vertical="center" wrapText="1"/>
    </xf>
    <xf numFmtId="0" fontId="1" fillId="0" borderId="53" xfId="0" applyFont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J64"/>
  <sheetViews>
    <sheetView tabSelected="1" topLeftCell="A41" zoomScale="85" zoomScaleNormal="85" workbookViewId="0">
      <selection activeCell="X52" sqref="X52"/>
    </sheetView>
  </sheetViews>
  <sheetFormatPr defaultRowHeight="18" x14ac:dyDescent="0.3"/>
  <cols>
    <col min="1" max="7" width="8.88671875" style="1"/>
    <col min="8" max="25" width="10.77734375" style="1" customWidth="1"/>
    <col min="26" max="27" width="12.5546875" style="1" bestFit="1" customWidth="1"/>
    <col min="28" max="35" width="10.77734375" style="1" customWidth="1"/>
    <col min="36" max="16384" width="8.88671875" style="1"/>
  </cols>
  <sheetData>
    <row r="1" spans="4:31" x14ac:dyDescent="0.3">
      <c r="D1" s="57" t="s">
        <v>7</v>
      </c>
      <c r="E1" s="57"/>
      <c r="F1" s="57" t="s">
        <v>8</v>
      </c>
      <c r="G1" s="57"/>
      <c r="H1" s="57"/>
      <c r="I1" s="57"/>
    </row>
    <row r="2" spans="4:31" ht="18.600000000000001" thickBot="1" x14ac:dyDescent="0.35"/>
    <row r="3" spans="4:31" x14ac:dyDescent="0.3">
      <c r="H3" s="61" t="s">
        <v>12</v>
      </c>
      <c r="I3" s="62"/>
      <c r="J3" s="62"/>
      <c r="K3" s="62" t="s">
        <v>12</v>
      </c>
      <c r="L3" s="62"/>
      <c r="M3" s="62"/>
      <c r="N3" s="77" t="s">
        <v>14</v>
      </c>
      <c r="O3" s="78"/>
      <c r="P3" s="79"/>
      <c r="Q3" s="74" t="s">
        <v>13</v>
      </c>
      <c r="R3" s="75"/>
      <c r="S3" s="75"/>
      <c r="T3" s="75" t="s">
        <v>17</v>
      </c>
      <c r="U3" s="75"/>
      <c r="V3" s="81"/>
      <c r="W3" s="76" t="s">
        <v>15</v>
      </c>
      <c r="X3" s="75"/>
      <c r="Y3" s="75"/>
      <c r="Z3" s="63" t="s">
        <v>13</v>
      </c>
      <c r="AA3" s="64"/>
      <c r="AB3" s="65"/>
      <c r="AC3" s="63" t="s">
        <v>22</v>
      </c>
      <c r="AD3" s="64"/>
      <c r="AE3" s="65"/>
    </row>
    <row r="4" spans="4:31" ht="18" customHeight="1" x14ac:dyDescent="0.3">
      <c r="D4" s="57" t="s">
        <v>3</v>
      </c>
      <c r="E4" s="57"/>
      <c r="F4" s="57"/>
      <c r="G4" s="58"/>
      <c r="H4" s="59" t="s">
        <v>20</v>
      </c>
      <c r="I4" s="60"/>
      <c r="J4" s="60"/>
      <c r="K4" s="60" t="s">
        <v>21</v>
      </c>
      <c r="L4" s="60"/>
      <c r="M4" s="60"/>
      <c r="N4" s="84" t="s">
        <v>9</v>
      </c>
      <c r="O4" s="55"/>
      <c r="P4" s="85"/>
      <c r="Q4" s="83" t="s">
        <v>10</v>
      </c>
      <c r="R4" s="57"/>
      <c r="S4" s="57"/>
      <c r="T4" s="55" t="s">
        <v>18</v>
      </c>
      <c r="U4" s="55"/>
      <c r="V4" s="82"/>
      <c r="W4" s="73" t="s">
        <v>11</v>
      </c>
      <c r="X4" s="57"/>
      <c r="Y4" s="57"/>
      <c r="Z4" s="66" t="s">
        <v>16</v>
      </c>
      <c r="AA4" s="67"/>
      <c r="AB4" s="68"/>
      <c r="AC4" s="66" t="s">
        <v>23</v>
      </c>
      <c r="AD4" s="67"/>
      <c r="AE4" s="68"/>
    </row>
    <row r="5" spans="4:31" x14ac:dyDescent="0.3">
      <c r="D5" s="57"/>
      <c r="E5" s="57"/>
      <c r="F5" s="57"/>
      <c r="G5" s="58"/>
      <c r="H5" s="59"/>
      <c r="I5" s="60"/>
      <c r="J5" s="60"/>
      <c r="K5" s="60"/>
      <c r="L5" s="60"/>
      <c r="M5" s="60"/>
      <c r="N5" s="84"/>
      <c r="O5" s="55"/>
      <c r="P5" s="85"/>
      <c r="Q5" s="83"/>
      <c r="R5" s="57"/>
      <c r="S5" s="57"/>
      <c r="T5" s="55"/>
      <c r="U5" s="55"/>
      <c r="V5" s="82"/>
      <c r="W5" s="73"/>
      <c r="X5" s="57"/>
      <c r="Y5" s="57"/>
      <c r="Z5" s="69"/>
      <c r="AA5" s="56"/>
      <c r="AB5" s="47"/>
      <c r="AC5" s="69"/>
      <c r="AD5" s="56"/>
      <c r="AE5" s="47"/>
    </row>
    <row r="6" spans="4:31" x14ac:dyDescent="0.3">
      <c r="D6" s="57"/>
      <c r="E6" s="57"/>
      <c r="F6" s="57"/>
      <c r="G6" s="58"/>
      <c r="H6" s="59"/>
      <c r="I6" s="60"/>
      <c r="J6" s="60"/>
      <c r="K6" s="60"/>
      <c r="L6" s="60"/>
      <c r="M6" s="60"/>
      <c r="N6" s="84"/>
      <c r="O6" s="55"/>
      <c r="P6" s="85"/>
      <c r="Q6" s="83"/>
      <c r="R6" s="57"/>
      <c r="S6" s="57"/>
      <c r="T6" s="55"/>
      <c r="U6" s="55"/>
      <c r="V6" s="82"/>
      <c r="W6" s="73"/>
      <c r="X6" s="57"/>
      <c r="Y6" s="57"/>
      <c r="Z6" s="70"/>
      <c r="AA6" s="71"/>
      <c r="AB6" s="72"/>
      <c r="AC6" s="70"/>
      <c r="AD6" s="71"/>
      <c r="AE6" s="72"/>
    </row>
    <row r="7" spans="4:31" ht="20.399999999999999" x14ac:dyDescent="0.3">
      <c r="D7" s="57" t="s">
        <v>4</v>
      </c>
      <c r="E7" s="57"/>
      <c r="F7" s="57" t="s">
        <v>5</v>
      </c>
      <c r="G7" s="58"/>
      <c r="H7" s="11" t="s">
        <v>0</v>
      </c>
      <c r="I7" s="9" t="s">
        <v>1</v>
      </c>
      <c r="J7" s="9" t="s">
        <v>2</v>
      </c>
      <c r="K7" s="9" t="s">
        <v>0</v>
      </c>
      <c r="L7" s="9" t="s">
        <v>1</v>
      </c>
      <c r="M7" s="9" t="s">
        <v>6</v>
      </c>
      <c r="N7" s="3" t="s">
        <v>0</v>
      </c>
      <c r="O7" s="2" t="s">
        <v>1</v>
      </c>
      <c r="P7" s="12" t="s">
        <v>6</v>
      </c>
      <c r="Q7" s="3" t="s">
        <v>0</v>
      </c>
      <c r="R7" s="2" t="s">
        <v>1</v>
      </c>
      <c r="S7" s="2" t="s">
        <v>6</v>
      </c>
      <c r="T7" s="2" t="s">
        <v>0</v>
      </c>
      <c r="U7" s="2" t="s">
        <v>1</v>
      </c>
      <c r="V7" s="5" t="s">
        <v>6</v>
      </c>
      <c r="W7" s="4" t="s">
        <v>0</v>
      </c>
      <c r="X7" s="2" t="s">
        <v>1</v>
      </c>
      <c r="Y7" s="2" t="s">
        <v>6</v>
      </c>
      <c r="Z7" s="2" t="s">
        <v>0</v>
      </c>
      <c r="AA7" s="2" t="s">
        <v>1</v>
      </c>
      <c r="AB7" s="5" t="s">
        <v>6</v>
      </c>
      <c r="AC7" s="2" t="s">
        <v>0</v>
      </c>
      <c r="AD7" s="2" t="s">
        <v>1</v>
      </c>
      <c r="AE7" s="5" t="s">
        <v>6</v>
      </c>
    </row>
    <row r="8" spans="4:31" x14ac:dyDescent="0.3">
      <c r="D8" s="57">
        <v>8</v>
      </c>
      <c r="E8" s="57"/>
      <c r="F8" s="57">
        <v>8</v>
      </c>
      <c r="G8" s="58"/>
      <c r="H8" s="11">
        <v>331</v>
      </c>
      <c r="I8" s="9">
        <v>306</v>
      </c>
      <c r="J8" s="9">
        <v>321</v>
      </c>
      <c r="K8" s="9">
        <v>374</v>
      </c>
      <c r="L8" s="9">
        <v>254</v>
      </c>
      <c r="M8" s="9">
        <v>332</v>
      </c>
      <c r="N8" s="3">
        <v>868</v>
      </c>
      <c r="O8" s="2">
        <v>541</v>
      </c>
      <c r="P8" s="12">
        <v>382</v>
      </c>
      <c r="Q8" s="3">
        <v>6641</v>
      </c>
      <c r="R8" s="2">
        <v>5245</v>
      </c>
      <c r="S8" s="2">
        <v>276</v>
      </c>
      <c r="T8" s="2">
        <v>6557</v>
      </c>
      <c r="U8" s="2">
        <v>5523</v>
      </c>
      <c r="V8" s="5">
        <v>294</v>
      </c>
      <c r="W8" s="4">
        <v>3800</v>
      </c>
      <c r="X8" s="2">
        <v>3629</v>
      </c>
      <c r="Y8" s="2">
        <v>246</v>
      </c>
      <c r="Z8" s="2">
        <v>3968</v>
      </c>
      <c r="AA8" s="2">
        <v>3734</v>
      </c>
      <c r="AB8" s="5">
        <v>297</v>
      </c>
      <c r="AC8" s="2">
        <v>763</v>
      </c>
      <c r="AD8" s="2">
        <v>624</v>
      </c>
      <c r="AE8" s="5">
        <v>368</v>
      </c>
    </row>
    <row r="9" spans="4:31" x14ac:dyDescent="0.3">
      <c r="D9" s="57">
        <v>10</v>
      </c>
      <c r="E9" s="57"/>
      <c r="F9" s="57">
        <v>16</v>
      </c>
      <c r="G9" s="58"/>
      <c r="H9" s="11">
        <v>504</v>
      </c>
      <c r="I9" s="9">
        <v>507</v>
      </c>
      <c r="J9" s="9">
        <v>305</v>
      </c>
      <c r="K9" s="9">
        <v>522</v>
      </c>
      <c r="L9" s="9">
        <v>395</v>
      </c>
      <c r="M9" s="9">
        <v>326</v>
      </c>
      <c r="N9" s="3">
        <v>1052</v>
      </c>
      <c r="O9" s="2">
        <v>702</v>
      </c>
      <c r="P9" s="12">
        <v>372</v>
      </c>
      <c r="Q9" s="3">
        <v>10250</v>
      </c>
      <c r="R9" s="2">
        <v>8127</v>
      </c>
      <c r="S9" s="2">
        <v>282</v>
      </c>
      <c r="T9" s="2">
        <v>10169</v>
      </c>
      <c r="U9" s="2">
        <v>8570</v>
      </c>
      <c r="V9" s="5">
        <v>271</v>
      </c>
      <c r="W9" s="4">
        <v>5511</v>
      </c>
      <c r="X9" s="2">
        <v>5209</v>
      </c>
      <c r="Y9" s="2">
        <v>242</v>
      </c>
      <c r="Z9" s="2">
        <v>5807</v>
      </c>
      <c r="AA9" s="2">
        <v>5764</v>
      </c>
      <c r="AB9" s="5">
        <v>291</v>
      </c>
      <c r="AC9" s="2">
        <v>1231</v>
      </c>
      <c r="AD9" s="2">
        <v>1023</v>
      </c>
      <c r="AE9" s="5">
        <v>356</v>
      </c>
    </row>
    <row r="10" spans="4:31" ht="18.600000000000001" thickBot="1" x14ac:dyDescent="0.35">
      <c r="D10" s="57">
        <v>10</v>
      </c>
      <c r="E10" s="57"/>
      <c r="F10" s="57">
        <v>32</v>
      </c>
      <c r="G10" s="58"/>
      <c r="H10" s="13">
        <v>761</v>
      </c>
      <c r="I10" s="14">
        <v>864</v>
      </c>
      <c r="J10" s="14">
        <v>300</v>
      </c>
      <c r="K10" s="14">
        <v>776</v>
      </c>
      <c r="L10" s="14">
        <v>616</v>
      </c>
      <c r="M10" s="14">
        <v>308</v>
      </c>
      <c r="N10" s="15">
        <v>1709</v>
      </c>
      <c r="O10" s="16">
        <v>830</v>
      </c>
      <c r="P10" s="17">
        <v>363</v>
      </c>
      <c r="Q10" s="10">
        <v>15069</v>
      </c>
      <c r="R10" s="7">
        <v>14526</v>
      </c>
      <c r="S10" s="7">
        <v>278</v>
      </c>
      <c r="T10" s="7">
        <v>15837</v>
      </c>
      <c r="U10" s="7">
        <v>14265</v>
      </c>
      <c r="V10" s="8">
        <v>276</v>
      </c>
      <c r="W10" s="6">
        <v>8367</v>
      </c>
      <c r="X10" s="7">
        <v>8997</v>
      </c>
      <c r="Y10" s="7">
        <v>231</v>
      </c>
      <c r="Z10" s="7">
        <v>9107</v>
      </c>
      <c r="AA10" s="7">
        <v>8871</v>
      </c>
      <c r="AB10" s="8">
        <v>296</v>
      </c>
      <c r="AC10" s="7">
        <v>1857</v>
      </c>
      <c r="AD10" s="7">
        <v>8871</v>
      </c>
      <c r="AE10" s="8">
        <v>375</v>
      </c>
    </row>
    <row r="11" spans="4:31" x14ac:dyDescent="0.3">
      <c r="H11" s="80" t="s">
        <v>24</v>
      </c>
      <c r="I11" s="80"/>
      <c r="J11" s="80"/>
      <c r="K11" s="80"/>
      <c r="L11" s="80"/>
      <c r="M11" s="80"/>
      <c r="N11" s="80"/>
      <c r="O11" s="80"/>
      <c r="P11" s="80"/>
    </row>
    <row r="12" spans="4:31" ht="23.4" x14ac:dyDescent="0.3">
      <c r="O12" s="19" t="s">
        <v>25</v>
      </c>
    </row>
    <row r="13" spans="4:31" x14ac:dyDescent="0.3">
      <c r="N13" s="56" t="s">
        <v>19</v>
      </c>
      <c r="O13" s="56"/>
      <c r="P13" s="56"/>
    </row>
    <row r="14" spans="4:31" x14ac:dyDescent="0.3">
      <c r="N14" s="56"/>
      <c r="O14" s="56"/>
      <c r="P14" s="56"/>
    </row>
    <row r="15" spans="4:31" x14ac:dyDescent="0.3">
      <c r="N15" s="56"/>
      <c r="O15" s="56"/>
      <c r="P15" s="56"/>
    </row>
    <row r="17" spans="5:36" x14ac:dyDescent="0.3">
      <c r="H17" s="57" t="s">
        <v>26</v>
      </c>
      <c r="I17" s="57"/>
      <c r="J17" s="57"/>
      <c r="K17" s="57" t="s">
        <v>26</v>
      </c>
      <c r="L17" s="57"/>
      <c r="M17" s="57"/>
      <c r="S17"/>
      <c r="T17"/>
      <c r="U17"/>
    </row>
    <row r="18" spans="5:36" x14ac:dyDescent="0.3">
      <c r="H18" s="55" t="s">
        <v>28</v>
      </c>
      <c r="I18" s="55"/>
      <c r="J18" s="55"/>
      <c r="K18" s="55" t="s">
        <v>29</v>
      </c>
      <c r="L18" s="55"/>
      <c r="M18" s="55"/>
      <c r="S18" s="55" t="s">
        <v>32</v>
      </c>
      <c r="T18" s="55"/>
      <c r="U18" s="55"/>
      <c r="AA18" s="55" t="s">
        <v>35</v>
      </c>
      <c r="AB18" s="55"/>
      <c r="AC18" s="55"/>
      <c r="AH18" s="55" t="s">
        <v>36</v>
      </c>
      <c r="AI18" s="55"/>
      <c r="AJ18" s="55"/>
    </row>
    <row r="19" spans="5:36" x14ac:dyDescent="0.3">
      <c r="H19" s="55"/>
      <c r="I19" s="55"/>
      <c r="J19" s="55"/>
      <c r="K19" s="55"/>
      <c r="L19" s="55"/>
      <c r="M19" s="55"/>
      <c r="S19" s="55"/>
      <c r="T19" s="55"/>
      <c r="U19" s="55"/>
      <c r="AA19" s="55"/>
      <c r="AB19" s="55"/>
      <c r="AC19" s="55"/>
      <c r="AH19" s="55"/>
      <c r="AI19" s="55"/>
      <c r="AJ19" s="55"/>
    </row>
    <row r="20" spans="5:36" ht="18" customHeight="1" x14ac:dyDescent="0.3">
      <c r="H20" s="55"/>
      <c r="I20" s="55"/>
      <c r="J20" s="55"/>
      <c r="K20" s="55"/>
      <c r="L20" s="55"/>
      <c r="M20" s="55"/>
      <c r="S20" s="55"/>
      <c r="T20" s="55"/>
      <c r="U20" s="55"/>
      <c r="AA20" s="55"/>
      <c r="AB20" s="55"/>
      <c r="AC20" s="55"/>
      <c r="AH20" s="55"/>
      <c r="AI20" s="55"/>
      <c r="AJ20" s="55"/>
    </row>
    <row r="21" spans="5:36" ht="20.399999999999999" x14ac:dyDescent="0.3">
      <c r="E21" s="55" t="s">
        <v>30</v>
      </c>
      <c r="F21" s="55"/>
      <c r="G21" s="2" t="s">
        <v>27</v>
      </c>
      <c r="H21" s="2" t="s">
        <v>0</v>
      </c>
      <c r="I21" s="2" t="s">
        <v>1</v>
      </c>
      <c r="J21" s="2" t="s">
        <v>2</v>
      </c>
      <c r="K21" s="2" t="s">
        <v>0</v>
      </c>
      <c r="L21" s="2" t="s">
        <v>1</v>
      </c>
      <c r="M21" s="2" t="s">
        <v>2</v>
      </c>
      <c r="O21" s="55" t="s">
        <v>34</v>
      </c>
      <c r="P21" s="55"/>
      <c r="Q21" s="18" t="s">
        <v>33</v>
      </c>
      <c r="R21" s="2" t="s">
        <v>31</v>
      </c>
      <c r="S21" s="2" t="s">
        <v>0</v>
      </c>
      <c r="T21" s="2" t="s">
        <v>1</v>
      </c>
      <c r="U21" s="2" t="s">
        <v>2</v>
      </c>
      <c r="W21"/>
      <c r="X21" s="55" t="s">
        <v>34</v>
      </c>
      <c r="Y21" s="55"/>
      <c r="Z21" s="2" t="s">
        <v>31</v>
      </c>
      <c r="AA21" s="2" t="s">
        <v>0</v>
      </c>
      <c r="AB21" s="2" t="s">
        <v>1</v>
      </c>
      <c r="AC21" s="2" t="s">
        <v>2</v>
      </c>
      <c r="AE21" s="55" t="s">
        <v>37</v>
      </c>
      <c r="AF21" s="55"/>
      <c r="AG21" s="18" t="s">
        <v>38</v>
      </c>
      <c r="AH21" s="2" t="s">
        <v>0</v>
      </c>
      <c r="AI21" s="2" t="s">
        <v>1</v>
      </c>
      <c r="AJ21" s="2" t="s">
        <v>2</v>
      </c>
    </row>
    <row r="22" spans="5:36" ht="18" customHeight="1" x14ac:dyDescent="0.3">
      <c r="E22" s="55"/>
      <c r="F22" s="55"/>
      <c r="G22" s="2">
        <v>4</v>
      </c>
      <c r="H22" s="2">
        <v>285</v>
      </c>
      <c r="I22" s="2">
        <v>198</v>
      </c>
      <c r="J22" s="2">
        <v>323</v>
      </c>
      <c r="K22" s="2">
        <v>271</v>
      </c>
      <c r="L22" s="2">
        <v>181</v>
      </c>
      <c r="M22" s="2">
        <v>578</v>
      </c>
      <c r="O22" s="55"/>
      <c r="P22" s="55"/>
      <c r="Q22" s="18">
        <v>8</v>
      </c>
      <c r="R22" s="2">
        <v>4</v>
      </c>
      <c r="S22" s="2">
        <v>1767</v>
      </c>
      <c r="T22" s="2">
        <v>1674</v>
      </c>
      <c r="U22" s="2">
        <v>455</v>
      </c>
      <c r="W22"/>
      <c r="X22" s="55"/>
      <c r="Y22" s="55"/>
      <c r="Z22" s="2">
        <v>4</v>
      </c>
      <c r="AA22" s="2">
        <v>386</v>
      </c>
      <c r="AB22" s="2">
        <v>365</v>
      </c>
      <c r="AC22" s="2">
        <v>555</v>
      </c>
      <c r="AE22" s="55"/>
      <c r="AF22" s="55"/>
      <c r="AG22" s="2">
        <v>2</v>
      </c>
      <c r="AH22" s="2">
        <v>986</v>
      </c>
      <c r="AI22" s="2">
        <v>936</v>
      </c>
      <c r="AJ22" s="2">
        <v>557</v>
      </c>
    </row>
    <row r="23" spans="5:36" x14ac:dyDescent="0.3">
      <c r="E23" s="55"/>
      <c r="F23" s="55"/>
      <c r="G23" s="2">
        <v>8</v>
      </c>
      <c r="H23" s="2">
        <v>1066</v>
      </c>
      <c r="I23" s="2">
        <v>498</v>
      </c>
      <c r="J23" s="2">
        <v>230</v>
      </c>
      <c r="K23" s="2">
        <v>1028</v>
      </c>
      <c r="L23" s="2">
        <v>675</v>
      </c>
      <c r="M23" s="2">
        <v>476</v>
      </c>
      <c r="O23" s="55"/>
      <c r="P23" s="55"/>
      <c r="Q23" s="18">
        <v>12</v>
      </c>
      <c r="R23" s="2">
        <v>8</v>
      </c>
      <c r="S23" s="2">
        <v>2671</v>
      </c>
      <c r="T23" s="2">
        <v>2374</v>
      </c>
      <c r="U23" s="2">
        <v>462</v>
      </c>
      <c r="W23"/>
      <c r="X23" s="55"/>
      <c r="Y23" s="55"/>
      <c r="Z23" s="2">
        <v>8</v>
      </c>
      <c r="AA23" s="2">
        <v>983</v>
      </c>
      <c r="AB23" s="2">
        <v>935</v>
      </c>
      <c r="AC23" s="2">
        <v>542</v>
      </c>
      <c r="AE23" s="55"/>
      <c r="AF23" s="55"/>
      <c r="AG23" s="2">
        <v>4</v>
      </c>
      <c r="AH23" s="2">
        <v>2883</v>
      </c>
      <c r="AI23" s="2">
        <v>2793</v>
      </c>
      <c r="AJ23" s="2">
        <v>456</v>
      </c>
    </row>
    <row r="24" spans="5:36" x14ac:dyDescent="0.3">
      <c r="E24" s="55"/>
      <c r="F24" s="55"/>
      <c r="G24" s="2">
        <v>16</v>
      </c>
      <c r="H24" s="2">
        <v>3763</v>
      </c>
      <c r="I24" s="2">
        <v>3634</v>
      </c>
      <c r="J24" s="2">
        <v>155</v>
      </c>
      <c r="K24" s="2">
        <v>3667</v>
      </c>
      <c r="L24" s="2">
        <v>2291</v>
      </c>
      <c r="M24" s="2">
        <v>387</v>
      </c>
      <c r="O24" s="55"/>
      <c r="P24" s="55"/>
      <c r="Q24" s="18">
        <v>16</v>
      </c>
      <c r="R24" s="2">
        <v>12</v>
      </c>
      <c r="S24" s="2">
        <v>3107</v>
      </c>
      <c r="T24" s="2">
        <v>2882</v>
      </c>
      <c r="U24" s="2">
        <v>390</v>
      </c>
      <c r="W24"/>
      <c r="X24" s="55"/>
      <c r="Y24" s="55"/>
      <c r="Z24" s="2">
        <v>16</v>
      </c>
      <c r="AA24" s="2">
        <v>2446</v>
      </c>
      <c r="AB24" s="2">
        <v>2296</v>
      </c>
      <c r="AC24" s="2">
        <v>493</v>
      </c>
      <c r="AE24" s="55"/>
      <c r="AF24" s="55"/>
      <c r="AG24" s="2">
        <v>8</v>
      </c>
      <c r="AH24" s="2">
        <v>6718</v>
      </c>
      <c r="AI24" s="2">
        <v>6423</v>
      </c>
      <c r="AJ24" s="2">
        <v>438</v>
      </c>
    </row>
    <row r="26" spans="5:36" ht="18.600000000000001" thickBot="1" x14ac:dyDescent="0.35"/>
    <row r="27" spans="5:36" x14ac:dyDescent="0.3">
      <c r="E27" s="35" t="s">
        <v>39</v>
      </c>
      <c r="F27" s="36"/>
      <c r="G27" s="36"/>
      <c r="H27" s="36"/>
      <c r="I27" s="36"/>
      <c r="J27" s="36"/>
      <c r="K27" s="36"/>
      <c r="L27" s="36"/>
      <c r="M27" s="36"/>
      <c r="N27" s="37"/>
      <c r="S27" s="35" t="s">
        <v>39</v>
      </c>
      <c r="T27" s="36"/>
      <c r="U27" s="36"/>
      <c r="V27" s="36"/>
      <c r="W27" s="36"/>
      <c r="X27" s="36"/>
      <c r="Y27" s="36"/>
      <c r="Z27" s="36"/>
      <c r="AA27" s="36"/>
      <c r="AB27" s="37"/>
    </row>
    <row r="28" spans="5:36" x14ac:dyDescent="0.3">
      <c r="E28" s="38"/>
      <c r="F28" s="39"/>
      <c r="G28" s="39"/>
      <c r="H28" s="39"/>
      <c r="I28" s="39"/>
      <c r="J28" s="39"/>
      <c r="K28" s="39"/>
      <c r="L28" s="39"/>
      <c r="M28" s="39"/>
      <c r="N28" s="40"/>
      <c r="S28" s="38"/>
      <c r="T28" s="39"/>
      <c r="U28" s="39"/>
      <c r="V28" s="39"/>
      <c r="W28" s="39"/>
      <c r="X28" s="39"/>
      <c r="Y28" s="39"/>
      <c r="Z28" s="39"/>
      <c r="AA28" s="39"/>
      <c r="AB28" s="40"/>
    </row>
    <row r="29" spans="5:36" ht="18.600000000000001" thickBot="1" x14ac:dyDescent="0.35">
      <c r="E29" s="50"/>
      <c r="F29" s="51"/>
      <c r="G29" s="51"/>
      <c r="H29" s="51"/>
      <c r="I29" s="51"/>
      <c r="J29" s="51"/>
      <c r="K29" s="51"/>
      <c r="L29" s="51"/>
      <c r="M29" s="51"/>
      <c r="N29" s="52"/>
      <c r="S29" s="50"/>
      <c r="T29" s="51"/>
      <c r="U29" s="51"/>
      <c r="V29" s="51"/>
      <c r="W29" s="51"/>
      <c r="X29" s="51"/>
      <c r="Y29" s="51"/>
      <c r="Z29" s="51"/>
      <c r="AA29" s="51"/>
      <c r="AB29" s="52"/>
    </row>
    <row r="30" spans="5:36" ht="20.399999999999999" customHeight="1" x14ac:dyDescent="0.3">
      <c r="E30" s="44" t="s">
        <v>44</v>
      </c>
      <c r="F30" s="45"/>
      <c r="G30" s="24" t="s">
        <v>33</v>
      </c>
      <c r="H30" s="20" t="s">
        <v>40</v>
      </c>
      <c r="I30" s="20" t="s">
        <v>41</v>
      </c>
      <c r="J30" s="20" t="s">
        <v>42</v>
      </c>
      <c r="K30" s="20" t="s">
        <v>43</v>
      </c>
      <c r="L30" s="20" t="s">
        <v>0</v>
      </c>
      <c r="M30" s="20" t="s">
        <v>1</v>
      </c>
      <c r="N30" s="22" t="s">
        <v>2</v>
      </c>
      <c r="S30" s="44" t="s">
        <v>44</v>
      </c>
      <c r="T30" s="45"/>
      <c r="U30" s="24" t="s">
        <v>33</v>
      </c>
      <c r="V30" s="20" t="s">
        <v>40</v>
      </c>
      <c r="W30" s="20" t="s">
        <v>41</v>
      </c>
      <c r="X30" s="20" t="s">
        <v>42</v>
      </c>
      <c r="Y30" s="20" t="s">
        <v>43</v>
      </c>
      <c r="Z30" s="20" t="s">
        <v>0</v>
      </c>
      <c r="AA30" s="20" t="s">
        <v>1</v>
      </c>
      <c r="AB30" s="22" t="s">
        <v>2</v>
      </c>
    </row>
    <row r="31" spans="5:36" x14ac:dyDescent="0.3">
      <c r="E31" s="46"/>
      <c r="F31" s="47"/>
      <c r="G31" s="23">
        <v>4</v>
      </c>
      <c r="H31" s="2">
        <v>2</v>
      </c>
      <c r="I31" s="2">
        <v>2</v>
      </c>
      <c r="J31" s="2">
        <v>2</v>
      </c>
      <c r="K31" s="2">
        <v>2</v>
      </c>
      <c r="L31" s="2">
        <v>2175</v>
      </c>
      <c r="M31" s="2">
        <v>2480</v>
      </c>
      <c r="N31" s="5">
        <v>479</v>
      </c>
      <c r="S31" s="46"/>
      <c r="T31" s="47"/>
      <c r="U31" s="23">
        <v>4</v>
      </c>
      <c r="V31" s="2">
        <v>2</v>
      </c>
      <c r="W31" s="2">
        <v>2</v>
      </c>
      <c r="X31" s="2">
        <v>2</v>
      </c>
      <c r="Y31" s="2">
        <v>2</v>
      </c>
      <c r="Z31" s="2">
        <v>2175</v>
      </c>
      <c r="AA31" s="2">
        <v>2480</v>
      </c>
      <c r="AB31" s="5">
        <v>479</v>
      </c>
    </row>
    <row r="32" spans="5:36" x14ac:dyDescent="0.3">
      <c r="E32" s="46"/>
      <c r="F32" s="47"/>
      <c r="G32" s="23">
        <v>4</v>
      </c>
      <c r="H32" s="2">
        <v>4</v>
      </c>
      <c r="I32" s="2">
        <v>4</v>
      </c>
      <c r="J32" s="2">
        <v>4</v>
      </c>
      <c r="K32" s="2">
        <v>2</v>
      </c>
      <c r="L32" s="2">
        <v>6171</v>
      </c>
      <c r="M32" s="2">
        <v>6193</v>
      </c>
      <c r="N32" s="5">
        <v>300</v>
      </c>
      <c r="S32" s="46"/>
      <c r="T32" s="47"/>
      <c r="U32" s="23">
        <v>4</v>
      </c>
      <c r="V32" s="2">
        <v>4</v>
      </c>
      <c r="W32" s="2">
        <v>4</v>
      </c>
      <c r="X32" s="2">
        <v>4</v>
      </c>
      <c r="Y32" s="2">
        <v>2</v>
      </c>
      <c r="Z32" s="2">
        <v>6171</v>
      </c>
      <c r="AA32" s="2">
        <v>6193</v>
      </c>
      <c r="AB32" s="5">
        <v>315</v>
      </c>
    </row>
    <row r="33" spans="5:30" x14ac:dyDescent="0.3">
      <c r="E33" s="46"/>
      <c r="F33" s="47"/>
      <c r="G33" s="23">
        <v>4</v>
      </c>
      <c r="H33" s="2">
        <v>4</v>
      </c>
      <c r="I33" s="2">
        <v>4</v>
      </c>
      <c r="J33" s="2">
        <v>8</v>
      </c>
      <c r="K33" s="2">
        <v>2</v>
      </c>
      <c r="L33" s="2">
        <v>12422</v>
      </c>
      <c r="M33" s="2">
        <v>12448</v>
      </c>
      <c r="N33" s="5">
        <v>276</v>
      </c>
      <c r="S33" s="46"/>
      <c r="T33" s="47"/>
      <c r="U33" s="23">
        <v>4</v>
      </c>
      <c r="V33" s="2">
        <v>4</v>
      </c>
      <c r="W33" s="2">
        <v>4</v>
      </c>
      <c r="X33" s="2">
        <v>8</v>
      </c>
      <c r="Y33" s="2">
        <v>2</v>
      </c>
      <c r="Z33" s="2">
        <v>12422</v>
      </c>
      <c r="AA33" s="2">
        <v>12448</v>
      </c>
      <c r="AB33" s="5">
        <v>305</v>
      </c>
    </row>
    <row r="34" spans="5:30" x14ac:dyDescent="0.3">
      <c r="E34" s="46"/>
      <c r="F34" s="47"/>
      <c r="G34" s="23">
        <v>4</v>
      </c>
      <c r="H34" s="2">
        <v>4</v>
      </c>
      <c r="I34" s="2">
        <v>4</v>
      </c>
      <c r="J34" s="2">
        <v>8</v>
      </c>
      <c r="K34" s="2">
        <v>4</v>
      </c>
      <c r="L34" s="2">
        <v>28834</v>
      </c>
      <c r="M34" s="2">
        <v>27684</v>
      </c>
      <c r="N34" s="5">
        <v>290</v>
      </c>
      <c r="S34" s="46"/>
      <c r="T34" s="47"/>
      <c r="U34" s="23">
        <v>4</v>
      </c>
      <c r="V34" s="2">
        <v>4</v>
      </c>
      <c r="W34" s="2">
        <v>4</v>
      </c>
      <c r="X34" s="2">
        <v>8</v>
      </c>
      <c r="Y34" s="2">
        <v>4</v>
      </c>
      <c r="Z34" s="2">
        <v>28834</v>
      </c>
      <c r="AA34" s="2">
        <v>27684</v>
      </c>
      <c r="AB34" s="5">
        <v>304</v>
      </c>
    </row>
    <row r="35" spans="5:30" x14ac:dyDescent="0.3">
      <c r="E35" s="46"/>
      <c r="F35" s="47"/>
      <c r="G35" s="23">
        <v>8</v>
      </c>
      <c r="H35" s="2">
        <v>8</v>
      </c>
      <c r="I35" s="2">
        <v>8</v>
      </c>
      <c r="J35" s="2">
        <v>8</v>
      </c>
      <c r="K35" s="2">
        <v>2</v>
      </c>
      <c r="L35" s="2">
        <v>31853</v>
      </c>
      <c r="M35" s="2">
        <v>27935</v>
      </c>
      <c r="N35" s="5">
        <v>320</v>
      </c>
      <c r="S35" s="46"/>
      <c r="T35" s="47"/>
      <c r="U35" s="23">
        <v>8</v>
      </c>
      <c r="V35" s="2">
        <v>8</v>
      </c>
      <c r="W35" s="2">
        <v>8</v>
      </c>
      <c r="X35" s="2">
        <v>8</v>
      </c>
      <c r="Y35" s="2">
        <v>2</v>
      </c>
      <c r="Z35" s="2">
        <v>31853</v>
      </c>
      <c r="AA35" s="2">
        <v>27935</v>
      </c>
      <c r="AB35" s="5">
        <v>320</v>
      </c>
    </row>
    <row r="36" spans="5:30" ht="20.399999999999999" customHeight="1" thickBot="1" x14ac:dyDescent="0.35">
      <c r="E36" s="46"/>
      <c r="F36" s="47"/>
      <c r="G36" s="23">
        <v>8</v>
      </c>
      <c r="H36" s="2">
        <v>8</v>
      </c>
      <c r="I36" s="2">
        <v>8</v>
      </c>
      <c r="J36" s="2">
        <v>8</v>
      </c>
      <c r="K36" s="2">
        <v>4</v>
      </c>
      <c r="L36" s="2">
        <v>75076</v>
      </c>
      <c r="M36" s="2">
        <v>65148</v>
      </c>
      <c r="N36" s="5">
        <v>291</v>
      </c>
      <c r="S36" s="46"/>
      <c r="T36" s="47"/>
      <c r="U36" s="23">
        <v>8</v>
      </c>
      <c r="V36" s="2">
        <v>8</v>
      </c>
      <c r="W36" s="2">
        <v>8</v>
      </c>
      <c r="X36" s="2">
        <v>8</v>
      </c>
      <c r="Y36" s="2">
        <v>4</v>
      </c>
      <c r="Z36" s="2">
        <v>75076</v>
      </c>
      <c r="AA36" s="2">
        <v>65148</v>
      </c>
      <c r="AB36" s="5">
        <v>297</v>
      </c>
    </row>
    <row r="37" spans="5:30" ht="20.399999999999999" customHeight="1" thickBot="1" x14ac:dyDescent="0.35">
      <c r="E37" s="48"/>
      <c r="F37" s="49"/>
      <c r="G37" s="25">
        <v>12</v>
      </c>
      <c r="H37" s="7">
        <v>12</v>
      </c>
      <c r="I37" s="7">
        <v>12</v>
      </c>
      <c r="J37" s="7">
        <v>8</v>
      </c>
      <c r="K37" s="7">
        <v>4</v>
      </c>
      <c r="L37" s="7">
        <v>242691</v>
      </c>
      <c r="M37" s="7">
        <v>242553</v>
      </c>
      <c r="N37" s="8">
        <v>304</v>
      </c>
      <c r="Q37"/>
      <c r="S37" s="48"/>
      <c r="T37" s="49"/>
      <c r="U37" s="25">
        <v>12</v>
      </c>
      <c r="V37" s="7">
        <v>12</v>
      </c>
      <c r="W37" s="7">
        <v>12</v>
      </c>
      <c r="X37" s="7">
        <v>8</v>
      </c>
      <c r="Y37" s="7">
        <v>4</v>
      </c>
      <c r="Z37" s="26">
        <v>242691</v>
      </c>
      <c r="AA37" s="26">
        <v>242553</v>
      </c>
      <c r="AB37" s="8">
        <v>304</v>
      </c>
      <c r="AC37" s="53" t="s">
        <v>48</v>
      </c>
      <c r="AD37" s="54"/>
    </row>
    <row r="38" spans="5:30" ht="18" customHeight="1" x14ac:dyDescent="0.3">
      <c r="E38" s="46" t="s">
        <v>47</v>
      </c>
      <c r="F38" s="47"/>
      <c r="G38" s="24" t="s">
        <v>33</v>
      </c>
      <c r="H38" s="20" t="s">
        <v>40</v>
      </c>
      <c r="I38" s="20" t="s">
        <v>41</v>
      </c>
      <c r="J38" s="20" t="s">
        <v>42</v>
      </c>
      <c r="K38" s="20" t="s">
        <v>43</v>
      </c>
      <c r="L38" s="20" t="s">
        <v>0</v>
      </c>
      <c r="M38" s="20" t="s">
        <v>1</v>
      </c>
      <c r="N38" s="22" t="s">
        <v>2</v>
      </c>
      <c r="O38" s="21" t="s">
        <v>45</v>
      </c>
      <c r="P38" s="22" t="s">
        <v>46</v>
      </c>
      <c r="Q38"/>
      <c r="S38" s="46" t="s">
        <v>47</v>
      </c>
      <c r="T38" s="47"/>
      <c r="U38" s="24" t="s">
        <v>33</v>
      </c>
      <c r="V38" s="20" t="s">
        <v>40</v>
      </c>
      <c r="W38" s="20" t="s">
        <v>41</v>
      </c>
      <c r="X38" s="20" t="s">
        <v>42</v>
      </c>
      <c r="Y38" s="20" t="s">
        <v>43</v>
      </c>
      <c r="Z38" s="20" t="s">
        <v>0</v>
      </c>
      <c r="AA38" s="20" t="s">
        <v>1</v>
      </c>
      <c r="AB38" s="22" t="s">
        <v>2</v>
      </c>
      <c r="AC38" s="21" t="s">
        <v>45</v>
      </c>
      <c r="AD38" s="22" t="s">
        <v>46</v>
      </c>
    </row>
    <row r="39" spans="5:30" x14ac:dyDescent="0.3">
      <c r="E39" s="46"/>
      <c r="F39" s="47"/>
      <c r="G39" s="23">
        <v>4</v>
      </c>
      <c r="H39" s="2">
        <v>2</v>
      </c>
      <c r="I39" s="2">
        <v>2</v>
      </c>
      <c r="J39" s="2">
        <v>2</v>
      </c>
      <c r="K39" s="2">
        <v>2</v>
      </c>
      <c r="L39" s="2">
        <v>1935</v>
      </c>
      <c r="M39" s="2">
        <v>2990</v>
      </c>
      <c r="N39" s="5">
        <v>518</v>
      </c>
      <c r="O39" s="4">
        <f t="shared" ref="O39:O45" si="0">-(L31-L39)/L31*100</f>
        <v>-11.03448275862069</v>
      </c>
      <c r="P39" s="5">
        <f t="shared" ref="P39:P45" si="1">-(M31-M39)/M39*100</f>
        <v>17.056856187290968</v>
      </c>
      <c r="Q39"/>
      <c r="S39" s="46"/>
      <c r="T39" s="47"/>
      <c r="U39" s="23">
        <v>4</v>
      </c>
      <c r="V39" s="2">
        <v>2</v>
      </c>
      <c r="W39" s="2">
        <v>2</v>
      </c>
      <c r="X39" s="2">
        <v>2</v>
      </c>
      <c r="Y39" s="2">
        <v>2</v>
      </c>
      <c r="Z39" s="2">
        <v>1935</v>
      </c>
      <c r="AA39" s="2">
        <v>2990</v>
      </c>
      <c r="AB39" s="5">
        <v>518</v>
      </c>
      <c r="AC39" s="4">
        <f t="shared" ref="AC39:AC45" si="2">-(Z31-Z39)/Z31*100</f>
        <v>-11.03448275862069</v>
      </c>
      <c r="AD39" s="5">
        <f t="shared" ref="AD39:AD45" si="3">-(AA31-AA39)/AA39*100</f>
        <v>17.056856187290968</v>
      </c>
    </row>
    <row r="40" spans="5:30" x14ac:dyDescent="0.3">
      <c r="E40" s="46"/>
      <c r="F40" s="47"/>
      <c r="G40" s="23">
        <v>4</v>
      </c>
      <c r="H40" s="2">
        <v>4</v>
      </c>
      <c r="I40" s="2">
        <v>4</v>
      </c>
      <c r="J40" s="2">
        <v>4</v>
      </c>
      <c r="K40" s="2">
        <v>2</v>
      </c>
      <c r="L40" s="2">
        <v>5193</v>
      </c>
      <c r="M40" s="2">
        <v>6854</v>
      </c>
      <c r="N40" s="5">
        <v>295</v>
      </c>
      <c r="O40" s="4">
        <f t="shared" si="0"/>
        <v>-15.84832280019446</v>
      </c>
      <c r="P40" s="5">
        <f t="shared" si="1"/>
        <v>9.6440035016049013</v>
      </c>
      <c r="Q40"/>
      <c r="S40" s="46"/>
      <c r="T40" s="47"/>
      <c r="U40" s="23">
        <v>4</v>
      </c>
      <c r="V40" s="2">
        <v>4</v>
      </c>
      <c r="W40" s="2">
        <v>4</v>
      </c>
      <c r="X40" s="2">
        <v>4</v>
      </c>
      <c r="Y40" s="2">
        <v>2</v>
      </c>
      <c r="Z40" s="2">
        <v>5193</v>
      </c>
      <c r="AA40" s="2">
        <v>6854</v>
      </c>
      <c r="AB40" s="5">
        <v>309</v>
      </c>
      <c r="AC40" s="4">
        <f t="shared" si="2"/>
        <v>-15.84832280019446</v>
      </c>
      <c r="AD40" s="5">
        <f t="shared" si="3"/>
        <v>9.6440035016049013</v>
      </c>
    </row>
    <row r="41" spans="5:30" x14ac:dyDescent="0.3">
      <c r="E41" s="46"/>
      <c r="F41" s="47"/>
      <c r="G41" s="23">
        <v>4</v>
      </c>
      <c r="H41" s="2">
        <v>4</v>
      </c>
      <c r="I41" s="2">
        <v>4</v>
      </c>
      <c r="J41" s="2">
        <v>8</v>
      </c>
      <c r="K41" s="2">
        <v>2</v>
      </c>
      <c r="L41" s="2">
        <v>10417</v>
      </c>
      <c r="M41" s="2">
        <v>13700</v>
      </c>
      <c r="N41" s="5">
        <v>284</v>
      </c>
      <c r="O41" s="4">
        <f t="shared" si="0"/>
        <v>-16.140718080824342</v>
      </c>
      <c r="P41" s="5">
        <f t="shared" si="1"/>
        <v>9.1386861313868604</v>
      </c>
      <c r="Q41"/>
      <c r="S41" s="46"/>
      <c r="T41" s="47"/>
      <c r="U41" s="23">
        <v>4</v>
      </c>
      <c r="V41" s="2">
        <v>4</v>
      </c>
      <c r="W41" s="2">
        <v>4</v>
      </c>
      <c r="X41" s="2">
        <v>8</v>
      </c>
      <c r="Y41" s="2">
        <v>2</v>
      </c>
      <c r="Z41" s="2">
        <v>10417</v>
      </c>
      <c r="AA41" s="2">
        <v>13700</v>
      </c>
      <c r="AB41" s="5">
        <v>303</v>
      </c>
      <c r="AC41" s="4">
        <f t="shared" si="2"/>
        <v>-16.140718080824342</v>
      </c>
      <c r="AD41" s="5">
        <f t="shared" si="3"/>
        <v>9.1386861313868604</v>
      </c>
    </row>
    <row r="42" spans="5:30" x14ac:dyDescent="0.3">
      <c r="E42" s="46"/>
      <c r="F42" s="47"/>
      <c r="G42" s="23">
        <v>4</v>
      </c>
      <c r="H42" s="2">
        <v>4</v>
      </c>
      <c r="I42" s="2">
        <v>4</v>
      </c>
      <c r="J42" s="2">
        <v>8</v>
      </c>
      <c r="K42" s="2">
        <v>4</v>
      </c>
      <c r="L42" s="2">
        <v>19702</v>
      </c>
      <c r="M42" s="2">
        <v>27835</v>
      </c>
      <c r="N42" s="5">
        <v>290</v>
      </c>
      <c r="O42" s="4">
        <f t="shared" si="0"/>
        <v>-31.670944024415622</v>
      </c>
      <c r="P42" s="5">
        <f t="shared" si="1"/>
        <v>0.54248248607867799</v>
      </c>
      <c r="S42" s="46"/>
      <c r="T42" s="47"/>
      <c r="U42" s="23">
        <v>4</v>
      </c>
      <c r="V42" s="2">
        <v>4</v>
      </c>
      <c r="W42" s="2">
        <v>4</v>
      </c>
      <c r="X42" s="2">
        <v>8</v>
      </c>
      <c r="Y42" s="2">
        <v>4</v>
      </c>
      <c r="Z42" s="2">
        <v>19702</v>
      </c>
      <c r="AA42" s="2">
        <v>27835</v>
      </c>
      <c r="AB42" s="5">
        <v>303</v>
      </c>
      <c r="AC42" s="4">
        <f t="shared" si="2"/>
        <v>-31.670944024415622</v>
      </c>
      <c r="AD42" s="5">
        <f t="shared" si="3"/>
        <v>0.54248248607867799</v>
      </c>
    </row>
    <row r="43" spans="5:30" x14ac:dyDescent="0.3">
      <c r="E43" s="46"/>
      <c r="F43" s="47"/>
      <c r="G43" s="23">
        <v>8</v>
      </c>
      <c r="H43" s="2">
        <v>8</v>
      </c>
      <c r="I43" s="2">
        <v>8</v>
      </c>
      <c r="J43" s="2">
        <v>8</v>
      </c>
      <c r="K43" s="2">
        <v>2</v>
      </c>
      <c r="L43" s="2">
        <v>23593</v>
      </c>
      <c r="M43" s="2">
        <v>28014</v>
      </c>
      <c r="N43" s="5">
        <v>332</v>
      </c>
      <c r="O43" s="4">
        <f t="shared" si="0"/>
        <v>-25.93162339497065</v>
      </c>
      <c r="P43" s="5">
        <f t="shared" si="1"/>
        <v>0.28200185621474977</v>
      </c>
      <c r="S43" s="46"/>
      <c r="T43" s="47"/>
      <c r="U43" s="23">
        <v>8</v>
      </c>
      <c r="V43" s="2">
        <v>8</v>
      </c>
      <c r="W43" s="2">
        <v>8</v>
      </c>
      <c r="X43" s="2">
        <v>8</v>
      </c>
      <c r="Y43" s="2">
        <v>2</v>
      </c>
      <c r="Z43" s="2">
        <v>23593</v>
      </c>
      <c r="AA43" s="2">
        <v>28014</v>
      </c>
      <c r="AB43" s="5">
        <v>332</v>
      </c>
      <c r="AC43" s="4">
        <f t="shared" si="2"/>
        <v>-25.93162339497065</v>
      </c>
      <c r="AD43" s="5">
        <f t="shared" si="3"/>
        <v>0.28200185621474977</v>
      </c>
    </row>
    <row r="44" spans="5:30" x14ac:dyDescent="0.3">
      <c r="E44" s="46"/>
      <c r="F44" s="47"/>
      <c r="G44" s="23">
        <v>8</v>
      </c>
      <c r="H44" s="2">
        <v>8</v>
      </c>
      <c r="I44" s="2">
        <v>8</v>
      </c>
      <c r="J44" s="2">
        <v>8</v>
      </c>
      <c r="K44" s="2">
        <v>4</v>
      </c>
      <c r="L44" s="2">
        <v>47532</v>
      </c>
      <c r="M44" s="2">
        <v>61677</v>
      </c>
      <c r="N44" s="5">
        <v>320</v>
      </c>
      <c r="O44" s="4">
        <f t="shared" si="0"/>
        <v>-36.688156001918053</v>
      </c>
      <c r="P44" s="5">
        <f t="shared" si="1"/>
        <v>-5.6277056277056277</v>
      </c>
      <c r="S44" s="46"/>
      <c r="T44" s="47"/>
      <c r="U44" s="23">
        <v>8</v>
      </c>
      <c r="V44" s="2">
        <v>8</v>
      </c>
      <c r="W44" s="2">
        <v>8</v>
      </c>
      <c r="X44" s="2">
        <v>8</v>
      </c>
      <c r="Y44" s="2">
        <v>4</v>
      </c>
      <c r="Z44" s="2">
        <v>47532</v>
      </c>
      <c r="AA44" s="2">
        <v>61677</v>
      </c>
      <c r="AB44" s="5">
        <v>320</v>
      </c>
      <c r="AC44" s="4">
        <f t="shared" si="2"/>
        <v>-36.688156001918053</v>
      </c>
      <c r="AD44" s="5">
        <f t="shared" si="3"/>
        <v>-5.6277056277056277</v>
      </c>
    </row>
    <row r="45" spans="5:30" ht="18.600000000000001" thickBot="1" x14ac:dyDescent="0.35">
      <c r="E45" s="48"/>
      <c r="F45" s="49"/>
      <c r="G45" s="25">
        <v>12</v>
      </c>
      <c r="H45" s="7">
        <v>12</v>
      </c>
      <c r="I45" s="7">
        <v>12</v>
      </c>
      <c r="J45" s="7">
        <v>8</v>
      </c>
      <c r="K45" s="7">
        <v>4</v>
      </c>
      <c r="L45" s="7">
        <v>124125</v>
      </c>
      <c r="M45" s="7">
        <v>150414</v>
      </c>
      <c r="N45" s="8">
        <v>290</v>
      </c>
      <c r="O45" s="6">
        <f t="shared" si="0"/>
        <v>-48.854716491340838</v>
      </c>
      <c r="P45" s="8">
        <f t="shared" si="1"/>
        <v>-61.256930870796602</v>
      </c>
      <c r="S45" s="48"/>
      <c r="T45" s="49"/>
      <c r="U45" s="25">
        <v>12</v>
      </c>
      <c r="V45" s="7">
        <v>12</v>
      </c>
      <c r="W45" s="7">
        <v>12</v>
      </c>
      <c r="X45" s="7">
        <v>8</v>
      </c>
      <c r="Y45" s="7">
        <v>4</v>
      </c>
      <c r="Z45" s="7">
        <v>124125</v>
      </c>
      <c r="AA45" s="7">
        <v>150414</v>
      </c>
      <c r="AB45" s="8">
        <v>290</v>
      </c>
      <c r="AC45" s="6">
        <f t="shared" si="2"/>
        <v>-48.854716491340838</v>
      </c>
      <c r="AD45" s="8">
        <f t="shared" si="3"/>
        <v>-61.256930870796602</v>
      </c>
    </row>
    <row r="47" spans="5:30" ht="18.600000000000001" thickBot="1" x14ac:dyDescent="0.35"/>
    <row r="48" spans="5:30" ht="18" customHeight="1" x14ac:dyDescent="0.3">
      <c r="E48" s="35" t="s">
        <v>49</v>
      </c>
      <c r="F48" s="36"/>
      <c r="G48" s="36"/>
      <c r="H48" s="36"/>
      <c r="I48" s="36"/>
      <c r="J48" s="36"/>
      <c r="K48" s="37"/>
      <c r="L48"/>
      <c r="M48"/>
      <c r="N48" s="35" t="s">
        <v>51</v>
      </c>
      <c r="O48" s="36"/>
      <c r="P48" s="36"/>
      <c r="Q48" s="36"/>
      <c r="R48" s="36"/>
      <c r="S48" s="36"/>
      <c r="T48" s="37"/>
    </row>
    <row r="49" spans="5:20" ht="18" customHeight="1" x14ac:dyDescent="0.3">
      <c r="E49" s="38"/>
      <c r="F49" s="39"/>
      <c r="G49" s="39"/>
      <c r="H49" s="39"/>
      <c r="I49" s="39"/>
      <c r="J49" s="39"/>
      <c r="K49" s="40"/>
      <c r="L49"/>
      <c r="M49"/>
      <c r="N49" s="38"/>
      <c r="O49" s="39"/>
      <c r="P49" s="39"/>
      <c r="Q49" s="39"/>
      <c r="R49" s="39"/>
      <c r="S49" s="39"/>
      <c r="T49" s="40"/>
    </row>
    <row r="50" spans="5:20" ht="18.600000000000001" customHeight="1" thickBot="1" x14ac:dyDescent="0.35">
      <c r="E50" s="41"/>
      <c r="F50" s="42"/>
      <c r="G50" s="42"/>
      <c r="H50" s="42"/>
      <c r="I50" s="42"/>
      <c r="J50" s="42"/>
      <c r="K50" s="43"/>
      <c r="L50"/>
      <c r="M50"/>
      <c r="N50" s="41"/>
      <c r="O50" s="42"/>
      <c r="P50" s="42"/>
      <c r="Q50" s="42"/>
      <c r="R50" s="42"/>
      <c r="S50" s="42"/>
      <c r="T50" s="43"/>
    </row>
    <row r="51" spans="5:20" ht="20.399999999999999" customHeight="1" thickBot="1" x14ac:dyDescent="0.35">
      <c r="E51" s="44" t="s">
        <v>34</v>
      </c>
      <c r="F51" s="45"/>
      <c r="G51" s="32" t="s">
        <v>33</v>
      </c>
      <c r="H51" s="33" t="s">
        <v>42</v>
      </c>
      <c r="I51" s="33" t="s">
        <v>0</v>
      </c>
      <c r="J51" s="33" t="s">
        <v>1</v>
      </c>
      <c r="K51" s="34" t="s">
        <v>2</v>
      </c>
      <c r="N51" s="44" t="s">
        <v>52</v>
      </c>
      <c r="O51" s="45"/>
      <c r="P51" s="32" t="s">
        <v>33</v>
      </c>
      <c r="Q51" s="33" t="s">
        <v>42</v>
      </c>
      <c r="R51" s="33" t="s">
        <v>0</v>
      </c>
      <c r="S51" s="33" t="s">
        <v>1</v>
      </c>
      <c r="T51" s="34" t="s">
        <v>2</v>
      </c>
    </row>
    <row r="52" spans="5:20" x14ac:dyDescent="0.3">
      <c r="E52" s="46"/>
      <c r="F52" s="47"/>
      <c r="G52" s="86">
        <v>2</v>
      </c>
      <c r="H52" s="27">
        <v>4</v>
      </c>
      <c r="I52" s="27">
        <v>1616</v>
      </c>
      <c r="J52" s="27">
        <v>2121</v>
      </c>
      <c r="K52" s="28">
        <v>512</v>
      </c>
      <c r="N52" s="46"/>
      <c r="O52" s="47"/>
      <c r="P52" s="86">
        <v>2</v>
      </c>
      <c r="Q52" s="27">
        <v>4</v>
      </c>
      <c r="R52" s="27">
        <v>124</v>
      </c>
      <c r="S52" s="27">
        <v>113</v>
      </c>
      <c r="T52" s="28">
        <v>578</v>
      </c>
    </row>
    <row r="53" spans="5:20" x14ac:dyDescent="0.3">
      <c r="E53" s="46"/>
      <c r="F53" s="47"/>
      <c r="G53" s="4">
        <v>2</v>
      </c>
      <c r="H53" s="2">
        <v>8</v>
      </c>
      <c r="I53" s="2">
        <v>3441</v>
      </c>
      <c r="J53" s="2">
        <v>4449</v>
      </c>
      <c r="K53" s="5">
        <v>489</v>
      </c>
      <c r="N53" s="46"/>
      <c r="O53" s="47"/>
      <c r="P53" s="4">
        <v>2</v>
      </c>
      <c r="Q53" s="2">
        <v>8</v>
      </c>
      <c r="R53" s="2">
        <v>257</v>
      </c>
      <c r="S53" s="2">
        <v>226</v>
      </c>
      <c r="T53" s="5">
        <v>587</v>
      </c>
    </row>
    <row r="54" spans="5:20" x14ac:dyDescent="0.3">
      <c r="E54" s="46"/>
      <c r="F54" s="47"/>
      <c r="G54" s="29">
        <v>4</v>
      </c>
      <c r="H54" s="2">
        <v>4</v>
      </c>
      <c r="I54" s="2">
        <v>3767</v>
      </c>
      <c r="J54" s="2">
        <v>4161</v>
      </c>
      <c r="K54" s="5">
        <v>303</v>
      </c>
      <c r="N54" s="46"/>
      <c r="O54" s="47"/>
      <c r="P54" s="29">
        <v>4</v>
      </c>
      <c r="Q54" s="2">
        <v>4</v>
      </c>
      <c r="R54" s="2">
        <v>663</v>
      </c>
      <c r="S54" s="2">
        <v>453</v>
      </c>
      <c r="T54" s="5">
        <v>327</v>
      </c>
    </row>
    <row r="55" spans="5:20" x14ac:dyDescent="0.3">
      <c r="E55" s="46"/>
      <c r="F55" s="47"/>
      <c r="G55" s="29">
        <v>4</v>
      </c>
      <c r="H55" s="2">
        <v>8</v>
      </c>
      <c r="I55" s="2">
        <v>8139</v>
      </c>
      <c r="J55" s="2">
        <v>8917</v>
      </c>
      <c r="K55" s="5">
        <v>300</v>
      </c>
      <c r="N55" s="46"/>
      <c r="O55" s="47"/>
      <c r="P55" s="29">
        <v>4</v>
      </c>
      <c r="Q55" s="2">
        <v>8</v>
      </c>
      <c r="R55" s="2">
        <v>1365</v>
      </c>
      <c r="S55" s="2">
        <v>900</v>
      </c>
      <c r="T55" s="5">
        <v>314</v>
      </c>
    </row>
    <row r="56" spans="5:20" x14ac:dyDescent="0.3">
      <c r="E56" s="46"/>
      <c r="F56" s="47"/>
      <c r="G56" s="29">
        <v>8</v>
      </c>
      <c r="H56" s="2">
        <v>4</v>
      </c>
      <c r="I56" s="2">
        <v>9244</v>
      </c>
      <c r="J56" s="2">
        <v>9133</v>
      </c>
      <c r="K56" s="5">
        <v>329</v>
      </c>
      <c r="N56" s="46"/>
      <c r="O56" s="47"/>
      <c r="P56" s="29">
        <v>8</v>
      </c>
      <c r="Q56" s="2">
        <v>4</v>
      </c>
      <c r="R56" s="2">
        <v>3092</v>
      </c>
      <c r="S56" s="2">
        <v>2690</v>
      </c>
      <c r="T56" s="5">
        <v>543</v>
      </c>
    </row>
    <row r="57" spans="5:20" ht="18.600000000000001" thickBot="1" x14ac:dyDescent="0.35">
      <c r="E57" s="48"/>
      <c r="F57" s="49"/>
      <c r="G57" s="30">
        <v>8</v>
      </c>
      <c r="H57" s="7">
        <v>8</v>
      </c>
      <c r="I57" s="7">
        <v>20588</v>
      </c>
      <c r="J57" s="7">
        <v>19846</v>
      </c>
      <c r="K57" s="8">
        <v>329</v>
      </c>
      <c r="N57" s="48"/>
      <c r="O57" s="49"/>
      <c r="P57" s="30">
        <v>8</v>
      </c>
      <c r="Q57" s="7">
        <v>8</v>
      </c>
      <c r="R57" s="7">
        <v>6239</v>
      </c>
      <c r="S57" s="7">
        <v>5378</v>
      </c>
      <c r="T57" s="8">
        <v>398</v>
      </c>
    </row>
    <row r="58" spans="5:20" ht="21" customHeight="1" thickBot="1" x14ac:dyDescent="0.35">
      <c r="E58" s="44" t="s">
        <v>50</v>
      </c>
      <c r="F58" s="45"/>
      <c r="G58" s="32" t="s">
        <v>33</v>
      </c>
      <c r="H58" s="33" t="s">
        <v>42</v>
      </c>
      <c r="I58" s="33" t="s">
        <v>0</v>
      </c>
      <c r="J58" s="33" t="s">
        <v>1</v>
      </c>
      <c r="K58" s="34" t="s">
        <v>2</v>
      </c>
      <c r="N58" s="44" t="s">
        <v>53</v>
      </c>
      <c r="O58" s="45"/>
      <c r="P58" s="32" t="s">
        <v>33</v>
      </c>
      <c r="Q58" s="33" t="s">
        <v>42</v>
      </c>
      <c r="R58" s="33" t="s">
        <v>0</v>
      </c>
      <c r="S58" s="33" t="s">
        <v>1</v>
      </c>
      <c r="T58" s="34" t="s">
        <v>2</v>
      </c>
    </row>
    <row r="59" spans="5:20" x14ac:dyDescent="0.3">
      <c r="E59" s="46"/>
      <c r="F59" s="47"/>
      <c r="G59" s="21">
        <v>2</v>
      </c>
      <c r="H59" s="20">
        <v>4</v>
      </c>
      <c r="I59" s="20">
        <v>2251</v>
      </c>
      <c r="J59" s="20">
        <v>3242</v>
      </c>
      <c r="K59" s="22">
        <v>492</v>
      </c>
      <c r="N59" s="46"/>
      <c r="O59" s="47"/>
      <c r="P59" s="86">
        <v>2</v>
      </c>
      <c r="Q59" s="27">
        <v>4</v>
      </c>
      <c r="R59" s="27">
        <v>154</v>
      </c>
      <c r="S59" s="27">
        <v>146</v>
      </c>
      <c r="T59" s="28">
        <v>629</v>
      </c>
    </row>
    <row r="60" spans="5:20" x14ac:dyDescent="0.3">
      <c r="E60" s="46"/>
      <c r="F60" s="47"/>
      <c r="G60" s="4">
        <v>2</v>
      </c>
      <c r="H60" s="2">
        <v>8</v>
      </c>
      <c r="I60" s="2">
        <v>4844</v>
      </c>
      <c r="J60" s="2">
        <v>6858</v>
      </c>
      <c r="K60" s="5">
        <v>489</v>
      </c>
      <c r="N60" s="46"/>
      <c r="O60" s="47"/>
      <c r="P60" s="4">
        <v>2</v>
      </c>
      <c r="Q60" s="2">
        <v>8</v>
      </c>
      <c r="R60" s="2">
        <v>313</v>
      </c>
      <c r="S60" s="2">
        <v>289</v>
      </c>
      <c r="T60" s="5">
        <v>605</v>
      </c>
    </row>
    <row r="61" spans="5:20" ht="21" customHeight="1" x14ac:dyDescent="0.3">
      <c r="E61" s="46"/>
      <c r="F61" s="47"/>
      <c r="G61" s="31">
        <v>4</v>
      </c>
      <c r="H61" s="27">
        <v>4</v>
      </c>
      <c r="I61" s="27">
        <v>5986</v>
      </c>
      <c r="J61" s="27">
        <v>6798</v>
      </c>
      <c r="K61" s="28">
        <v>307</v>
      </c>
      <c r="N61" s="46"/>
      <c r="O61" s="47"/>
      <c r="P61" s="29">
        <v>4</v>
      </c>
      <c r="Q61" s="2">
        <v>4</v>
      </c>
      <c r="R61" s="2">
        <v>797</v>
      </c>
      <c r="S61" s="2">
        <v>586</v>
      </c>
      <c r="T61" s="5">
        <v>322</v>
      </c>
    </row>
    <row r="62" spans="5:20" x14ac:dyDescent="0.3">
      <c r="E62" s="46"/>
      <c r="F62" s="47"/>
      <c r="G62" s="29">
        <v>4</v>
      </c>
      <c r="H62" s="2">
        <v>8</v>
      </c>
      <c r="I62" s="2">
        <v>12977</v>
      </c>
      <c r="J62" s="2">
        <v>14628</v>
      </c>
      <c r="K62" s="5">
        <v>298</v>
      </c>
      <c r="N62" s="46"/>
      <c r="O62" s="47"/>
      <c r="P62" s="29">
        <v>4</v>
      </c>
      <c r="Q62" s="2">
        <v>8</v>
      </c>
      <c r="R62" s="2">
        <v>1683</v>
      </c>
      <c r="S62" s="2">
        <v>1158</v>
      </c>
      <c r="T62" s="5">
        <v>318</v>
      </c>
    </row>
    <row r="63" spans="5:20" x14ac:dyDescent="0.3">
      <c r="E63" s="46"/>
      <c r="F63" s="47"/>
      <c r="G63" s="29">
        <v>8</v>
      </c>
      <c r="H63" s="2">
        <v>4</v>
      </c>
      <c r="I63" s="2">
        <v>14749</v>
      </c>
      <c r="J63" s="2">
        <v>14033</v>
      </c>
      <c r="K63" s="5">
        <v>357</v>
      </c>
      <c r="N63" s="46"/>
      <c r="O63" s="47"/>
      <c r="P63" s="29">
        <v>8</v>
      </c>
      <c r="Q63" s="2">
        <v>4</v>
      </c>
      <c r="R63" s="2">
        <v>3845</v>
      </c>
      <c r="S63" s="2">
        <v>3460</v>
      </c>
      <c r="T63" s="5">
        <v>510</v>
      </c>
    </row>
    <row r="64" spans="5:20" ht="18.600000000000001" thickBot="1" x14ac:dyDescent="0.35">
      <c r="E64" s="48"/>
      <c r="F64" s="49"/>
      <c r="G64" s="30">
        <v>8</v>
      </c>
      <c r="H64" s="7">
        <v>8</v>
      </c>
      <c r="I64" s="7">
        <v>32081</v>
      </c>
      <c r="J64" s="7">
        <v>30525</v>
      </c>
      <c r="K64" s="8">
        <v>341</v>
      </c>
      <c r="N64" s="48"/>
      <c r="O64" s="49"/>
      <c r="P64" s="30">
        <v>8</v>
      </c>
      <c r="Q64" s="7">
        <v>8</v>
      </c>
      <c r="R64" s="7">
        <v>7781</v>
      </c>
      <c r="S64" s="7">
        <v>6925</v>
      </c>
      <c r="T64" s="8">
        <v>409</v>
      </c>
    </row>
  </sheetData>
  <mergeCells count="53">
    <mergeCell ref="D10:E10"/>
    <mergeCell ref="F10:G10"/>
    <mergeCell ref="N48:T50"/>
    <mergeCell ref="N51:O57"/>
    <mergeCell ref="N58:O64"/>
    <mergeCell ref="Q3:S3"/>
    <mergeCell ref="W3:Y3"/>
    <mergeCell ref="N3:P3"/>
    <mergeCell ref="H11:P11"/>
    <mergeCell ref="K3:M3"/>
    <mergeCell ref="T3:V3"/>
    <mergeCell ref="T4:V6"/>
    <mergeCell ref="Q4:S6"/>
    <mergeCell ref="K4:M6"/>
    <mergeCell ref="N4:P6"/>
    <mergeCell ref="AC3:AE3"/>
    <mergeCell ref="AC4:AE6"/>
    <mergeCell ref="Z3:AB3"/>
    <mergeCell ref="Z4:AB6"/>
    <mergeCell ref="W4:Y6"/>
    <mergeCell ref="D1:E1"/>
    <mergeCell ref="F1:I1"/>
    <mergeCell ref="D9:E9"/>
    <mergeCell ref="F9:G9"/>
    <mergeCell ref="H4:J6"/>
    <mergeCell ref="H3:J3"/>
    <mergeCell ref="F8:G8"/>
    <mergeCell ref="D4:G6"/>
    <mergeCell ref="D7:E7"/>
    <mergeCell ref="F7:G7"/>
    <mergeCell ref="D8:E8"/>
    <mergeCell ref="S18:U20"/>
    <mergeCell ref="N13:P15"/>
    <mergeCell ref="H17:J17"/>
    <mergeCell ref="H18:J20"/>
    <mergeCell ref="E21:F24"/>
    <mergeCell ref="K17:M17"/>
    <mergeCell ref="K18:M20"/>
    <mergeCell ref="O21:P24"/>
    <mergeCell ref="AC37:AD37"/>
    <mergeCell ref="AA18:AC20"/>
    <mergeCell ref="X21:Y24"/>
    <mergeCell ref="AH18:AJ20"/>
    <mergeCell ref="AE21:AF24"/>
    <mergeCell ref="E48:K50"/>
    <mergeCell ref="E51:F57"/>
    <mergeCell ref="E58:F64"/>
    <mergeCell ref="S27:AB29"/>
    <mergeCell ref="S30:T37"/>
    <mergeCell ref="S38:T45"/>
    <mergeCell ref="E38:F45"/>
    <mergeCell ref="E30:F37"/>
    <mergeCell ref="E27:N2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вячеслав назариков</dc:creator>
  <cp:lastModifiedBy>вячеслав назариков</cp:lastModifiedBy>
  <dcterms:created xsi:type="dcterms:W3CDTF">2015-06-05T18:19:34Z</dcterms:created>
  <dcterms:modified xsi:type="dcterms:W3CDTF">2026-05-04T19:59:22Z</dcterms:modified>
</cp:coreProperties>
</file>