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LRMLD\"/>
    </mc:Choice>
  </mc:AlternateContent>
  <xr:revisionPtr revIDLastSave="0" documentId="13_ncr:1_{FB4BD431-72B4-4BA0-B457-E57EC4A6F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43" i="1" l="1"/>
  <c r="AW134" i="1"/>
  <c r="AN127" i="1"/>
  <c r="AN122" i="1"/>
  <c r="AO127" i="1"/>
  <c r="AM120" i="1"/>
  <c r="AO126" i="1"/>
  <c r="AN126" i="1"/>
  <c r="AM119" i="1"/>
  <c r="AO125" i="1"/>
  <c r="AN125" i="1"/>
  <c r="AM118" i="1"/>
  <c r="AO124" i="1"/>
  <c r="AN124" i="1"/>
  <c r="AM117" i="1"/>
  <c r="AO123" i="1"/>
  <c r="AN123" i="1"/>
  <c r="AM116" i="1"/>
  <c r="AO122" i="1"/>
  <c r="AM115" i="1"/>
  <c r="AN74" i="1"/>
  <c r="AO74" i="1"/>
  <c r="AM71" i="1"/>
  <c r="AM72" i="1"/>
  <c r="AM74" i="1"/>
  <c r="AM67" i="1"/>
  <c r="AM73" i="1" s="1"/>
  <c r="AM70" i="1"/>
  <c r="AM100" i="1"/>
  <c r="AM101" i="1"/>
  <c r="AM102" i="1"/>
  <c r="AM103" i="1"/>
  <c r="AM104" i="1"/>
  <c r="AM99" i="1"/>
  <c r="AO70" i="1"/>
  <c r="AN70" i="1"/>
  <c r="AO83" i="1"/>
  <c r="AN83" i="1"/>
  <c r="AN84" i="1"/>
  <c r="AO100" i="1"/>
  <c r="AO101" i="1"/>
  <c r="AO102" i="1"/>
  <c r="AO103" i="1"/>
  <c r="AO104" i="1"/>
  <c r="AO99" i="1"/>
  <c r="AN100" i="1"/>
  <c r="AN101" i="1"/>
  <c r="AN102" i="1"/>
  <c r="AN103" i="1"/>
  <c r="AN104" i="1"/>
  <c r="AN99" i="1"/>
  <c r="AO84" i="1"/>
  <c r="AO85" i="1"/>
  <c r="AN85" i="1"/>
  <c r="AD78" i="1"/>
  <c r="AE90" i="1"/>
  <c r="AD90" i="1"/>
  <c r="AE86" i="1"/>
  <c r="AE87" i="1"/>
  <c r="AE88" i="1"/>
  <c r="AE89" i="1"/>
  <c r="AE85" i="1"/>
  <c r="AD86" i="1"/>
  <c r="AD87" i="1"/>
  <c r="AD88" i="1"/>
  <c r="AD89" i="1"/>
  <c r="AD85" i="1"/>
  <c r="AE80" i="1"/>
  <c r="AC79" i="1"/>
  <c r="AC80" i="1"/>
  <c r="AC81" i="1"/>
  <c r="AC82" i="1"/>
  <c r="AC83" i="1"/>
  <c r="AC78" i="1"/>
  <c r="AC72" i="1"/>
  <c r="AC73" i="1"/>
  <c r="AC74" i="1"/>
  <c r="AC75" i="1"/>
  <c r="AC76" i="1"/>
  <c r="AC71" i="1"/>
  <c r="AE78" i="1"/>
  <c r="AE79" i="1"/>
  <c r="AE81" i="1"/>
  <c r="AD79" i="1"/>
  <c r="AD80" i="1"/>
  <c r="AD81" i="1"/>
  <c r="AE83" i="1"/>
  <c r="AD83" i="1"/>
  <c r="AD82" i="1"/>
  <c r="AE82" i="1"/>
  <c r="AO73" i="1"/>
  <c r="AN73" i="1"/>
  <c r="AO72" i="1"/>
  <c r="AN72" i="1"/>
  <c r="AO71" i="1"/>
  <c r="AN71" i="1"/>
  <c r="AE76" i="1"/>
  <c r="AD76" i="1"/>
  <c r="AD75" i="1"/>
  <c r="AE75" i="1"/>
  <c r="AE72" i="1"/>
  <c r="AE73" i="1"/>
  <c r="AE74" i="1"/>
  <c r="AE71" i="1"/>
  <c r="AD72" i="1"/>
  <c r="AD73" i="1"/>
  <c r="AD74" i="1"/>
  <c r="AD71" i="1"/>
  <c r="AD45" i="1"/>
  <c r="AC45" i="1"/>
  <c r="AD44" i="1"/>
  <c r="AC44" i="1"/>
  <c r="AD43" i="1"/>
  <c r="AC43" i="1"/>
  <c r="AD42" i="1"/>
  <c r="AC42" i="1"/>
  <c r="AD41" i="1"/>
  <c r="AC41" i="1"/>
  <c r="AD40" i="1"/>
  <c r="AC40" i="1"/>
  <c r="AD39" i="1"/>
  <c r="AC39" i="1"/>
  <c r="P43" i="1"/>
  <c r="O39" i="1"/>
  <c r="P44" i="1"/>
  <c r="O44" i="1"/>
  <c r="O45" i="1"/>
  <c r="P45" i="1"/>
  <c r="O43" i="1"/>
  <c r="O42" i="1"/>
  <c r="O40" i="1"/>
  <c r="P40" i="1"/>
  <c r="P41" i="1"/>
  <c r="P42" i="1"/>
  <c r="P39" i="1"/>
  <c r="O41" i="1"/>
</calcChain>
</file>

<file path=xl/sharedStrings.xml><?xml version="1.0" encoding="utf-8"?>
<sst xmlns="http://schemas.openxmlformats.org/spreadsheetml/2006/main" count="262" uniqueCount="79">
  <si>
    <t>LUT</t>
  </si>
  <si>
    <t>FF</t>
  </si>
  <si>
    <r>
      <t>F</t>
    </r>
    <r>
      <rPr>
        <vertAlign val="subscript"/>
        <sz val="14"/>
        <color theme="1"/>
        <rFont val="Times New Roman"/>
        <family val="1"/>
        <charset val="204"/>
      </rPr>
      <t>clk</t>
    </r>
  </si>
  <si>
    <t>Параметры входных данных</t>
  </si>
  <si>
    <t>M_W, бит</t>
  </si>
  <si>
    <t>L_W, бит</t>
  </si>
  <si>
    <r>
      <t>F</t>
    </r>
    <r>
      <rPr>
        <vertAlign val="subscript"/>
        <sz val="14"/>
        <color theme="1"/>
        <rFont val="Times New Roman"/>
        <family val="1"/>
        <charset val="204"/>
      </rPr>
      <t>clk</t>
    </r>
    <r>
      <rPr>
        <sz val="14"/>
        <color theme="1"/>
        <rFont val="Times New Roman"/>
        <family val="1"/>
        <charset val="204"/>
      </rPr>
      <t>, МГц</t>
    </r>
  </si>
  <si>
    <t>Плата:</t>
  </si>
  <si>
    <t>xcku035-fbva676-1-i (active)</t>
  </si>
  <si>
    <t>sum_select_8 c индексами, насыщением</t>
  </si>
  <si>
    <t>sum_select_16</t>
  </si>
  <si>
    <t>sum_select_12</t>
  </si>
  <si>
    <t>Задержка, такты: 3</t>
  </si>
  <si>
    <t>Задержка, такты: 11</t>
  </si>
  <si>
    <t>Задержка, такты: 6</t>
  </si>
  <si>
    <t>Задержка, такты: 9</t>
  </si>
  <si>
    <t>sum_select_12, + входная регистрация в bitonic_merge</t>
  </si>
  <si>
    <t>Задержка, такты: 13</t>
  </si>
  <si>
    <t>sum_select_16, + входная регистрация в bitonic_merge</t>
  </si>
  <si>
    <t>в данном модуле входы - списки по 4 элемента, а не 8, перепутал обозначения(</t>
  </si>
  <si>
    <t>sum_select_4  - решение коллег, но с задержкой a0b0, насыщением</t>
  </si>
  <si>
    <t>sum_select_4 - замена метрик на индексы, добавлено насыщение</t>
  </si>
  <si>
    <t>Задержка, такты: 7</t>
  </si>
  <si>
    <t>sum_select8</t>
  </si>
  <si>
    <t>Базовые блоки</t>
  </si>
  <si>
    <t>↑</t>
  </si>
  <si>
    <t>Задержка, такты: 1 + log2(N)</t>
  </si>
  <si>
    <t>N</t>
  </si>
  <si>
    <t>bitonic_sort с регистрацией только больших стадий и индексами меток</t>
  </si>
  <si>
    <t xml:space="preserve">bitonic_sort с регистрацией всех стадий и индексами меток + SRL </t>
  </si>
  <si>
    <t>M_W = 10
 L_W = 16</t>
  </si>
  <si>
    <t>N1 И N2</t>
  </si>
  <si>
    <t>full_sum_lists</t>
  </si>
  <si>
    <t>L</t>
  </si>
  <si>
    <t xml:space="preserve">M_W = 10
 L_W = 16
</t>
  </si>
  <si>
    <t>merge_2n_n</t>
  </si>
  <si>
    <t>merge_tree</t>
  </si>
  <si>
    <t>M_W = 10
 L_W = 16
L = 8</t>
  </si>
  <si>
    <t>N_L</t>
  </si>
  <si>
    <t>comb</t>
  </si>
  <si>
    <t>N1</t>
  </si>
  <si>
    <t>N2</t>
  </si>
  <si>
    <t>N_COS</t>
  </si>
  <si>
    <t>N_U</t>
  </si>
  <si>
    <t>M_W = 10
 L_W = 16
IS_FSM = 0</t>
  </si>
  <si>
    <t>LUT,%</t>
  </si>
  <si>
    <t>FF,%</t>
  </si>
  <si>
    <t>M_W = 10
 L_W = 16
IS_FSM = 1
Latency + N_U cycles</t>
  </si>
  <si>
    <t>Reduce resources</t>
  </si>
  <si>
    <t>top_comb</t>
  </si>
  <si>
    <t xml:space="preserve">M_W = 10
 L_W = 32
</t>
  </si>
  <si>
    <t>table_sort</t>
  </si>
  <si>
    <t xml:space="preserve">M_W = 10
 L_W = 4
</t>
  </si>
  <si>
    <t xml:space="preserve">M_W = 10
 L_W = 8
</t>
  </si>
  <si>
    <t>LLR_W</t>
  </si>
  <si>
    <t xml:space="preserve">N </t>
  </si>
  <si>
    <t>LABEL_W</t>
  </si>
  <si>
    <t>make</t>
  </si>
  <si>
    <t>RM(16,11)</t>
  </si>
  <si>
    <t>Latency, cycles</t>
  </si>
  <si>
    <r>
      <t>F</t>
    </r>
    <r>
      <rPr>
        <vertAlign val="subscript"/>
        <sz val="14"/>
        <color theme="1"/>
        <rFont val="Times New Roman"/>
        <family val="1"/>
        <charset val="204"/>
      </rPr>
      <t>clk</t>
    </r>
    <r>
      <rPr>
        <sz val="14"/>
        <color theme="1"/>
        <rFont val="Times New Roman"/>
        <family val="1"/>
        <charset val="204"/>
      </rPr>
      <t>, MHz</t>
    </r>
  </si>
  <si>
    <t>IS_FSM = 0
LLR_W = 6</t>
  </si>
  <si>
    <t>IS_FSM = 1
LLR_W = 6</t>
  </si>
  <si>
    <t>RM(32,11)</t>
  </si>
  <si>
    <t>IS_FSM = 0
LLR_W = 8</t>
  </si>
  <si>
    <t>IS_FSM = 2
LLR_W = 6</t>
  </si>
  <si>
    <t>IS_FSM = 3
LLR_W = 6</t>
  </si>
  <si>
    <t>IS_FSM = 3
LLR_W = 8</t>
  </si>
  <si>
    <t>N = 64</t>
  </si>
  <si>
    <t>-</t>
  </si>
  <si>
    <t>Задержка, 
такты</t>
  </si>
  <si>
    <t>Длина списка</t>
  </si>
  <si>
    <t>Количество
 используемых LUT</t>
  </si>
  <si>
    <t>Количество
 используемых FF</t>
  </si>
  <si>
    <t>FSM = 0</t>
  </si>
  <si>
    <t>FSM = 1</t>
  </si>
  <si>
    <t>Максимально
 достижимая
 тактовая 
частота, МГц</t>
  </si>
  <si>
    <t>Режим 
работы</t>
  </si>
  <si>
    <t>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</si>
</sst>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b/>
      <sz val="18"/>
      <color theme="1"/>
      <name val="Aptos Narrow"/>
      <family val="2"/>
    </font>
    <font>
      <b/>
      <sz val="2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00000"/>
      </left>
      <right style="thin">
        <color theme="1"/>
      </right>
      <top style="medium">
        <color rgb="FFC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C00000"/>
      </top>
      <bottom style="thin">
        <color theme="1"/>
      </bottom>
      <diagonal/>
    </border>
    <border>
      <left/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theme="1"/>
      </right>
      <top style="thin">
        <color theme="1"/>
      </top>
      <bottom style="medium">
        <color rgb="FFC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/>
      <right/>
      <top style="medium">
        <color rgb="FFC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58" xfId="0" applyNumberFormat="1" applyFont="1" applyBorder="1" applyAlignment="1">
      <alignment horizontal="center" vertical="center"/>
    </xf>
    <xf numFmtId="164" fontId="1" fillId="0" borderId="59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51" xfId="0" applyNumberFormat="1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2" borderId="3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49" xfId="0" applyNumberFormat="1" applyFont="1" applyBorder="1" applyAlignment="1">
      <alignment horizontal="center" vertical="center"/>
    </xf>
    <xf numFmtId="164" fontId="5" fillId="0" borderId="5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AY143"/>
  <sheetViews>
    <sheetView tabSelected="1" topLeftCell="AG106" zoomScaleNormal="100" workbookViewId="0">
      <selection activeCell="AV123" sqref="AV123"/>
    </sheetView>
  </sheetViews>
  <sheetFormatPr defaultRowHeight="18" x14ac:dyDescent="0.3"/>
  <cols>
    <col min="1" max="7" width="8.88671875" style="1"/>
    <col min="8" max="25" width="10.77734375" style="1" customWidth="1"/>
    <col min="26" max="27" width="12.5546875" style="1" bestFit="1" customWidth="1"/>
    <col min="28" max="28" width="13" style="1" customWidth="1"/>
    <col min="29" max="29" width="16.5546875" style="1" customWidth="1"/>
    <col min="30" max="30" width="11" style="1" customWidth="1"/>
    <col min="31" max="31" width="10.77734375" style="1" customWidth="1"/>
    <col min="32" max="32" width="6.77734375" style="1" customWidth="1"/>
    <col min="33" max="33" width="4" style="1" customWidth="1"/>
    <col min="34" max="34" width="3.6640625" style="1" customWidth="1"/>
    <col min="35" max="35" width="7.44140625" style="1" customWidth="1"/>
    <col min="36" max="37" width="16.77734375" style="1" customWidth="1"/>
    <col min="38" max="38" width="14.33203125" style="1" customWidth="1"/>
    <col min="39" max="39" width="9.109375" style="1" customWidth="1"/>
    <col min="40" max="42" width="8.88671875" style="1"/>
    <col min="43" max="44" width="5.77734375" style="1" customWidth="1"/>
    <col min="45" max="45" width="8.88671875" style="1"/>
    <col min="46" max="47" width="19.77734375" style="1" customWidth="1"/>
    <col min="48" max="48" width="14.33203125" style="1" customWidth="1"/>
    <col min="49" max="49" width="10.6640625" style="1" customWidth="1"/>
    <col min="50" max="16384" width="8.88671875" style="1"/>
  </cols>
  <sheetData>
    <row r="1" spans="4:31" x14ac:dyDescent="0.3">
      <c r="D1" s="108" t="s">
        <v>7</v>
      </c>
      <c r="E1" s="108"/>
      <c r="F1" s="108" t="s">
        <v>8</v>
      </c>
      <c r="G1" s="108"/>
      <c r="H1" s="108"/>
      <c r="I1" s="108"/>
    </row>
    <row r="2" spans="4:31" ht="18.600000000000001" thickBot="1" x14ac:dyDescent="0.35"/>
    <row r="3" spans="4:31" x14ac:dyDescent="0.3">
      <c r="H3" s="140" t="s">
        <v>12</v>
      </c>
      <c r="I3" s="132"/>
      <c r="J3" s="132"/>
      <c r="K3" s="132" t="s">
        <v>12</v>
      </c>
      <c r="L3" s="132"/>
      <c r="M3" s="132"/>
      <c r="N3" s="128" t="s">
        <v>14</v>
      </c>
      <c r="O3" s="129"/>
      <c r="P3" s="130"/>
      <c r="Q3" s="125" t="s">
        <v>13</v>
      </c>
      <c r="R3" s="126"/>
      <c r="S3" s="126"/>
      <c r="T3" s="126" t="s">
        <v>17</v>
      </c>
      <c r="U3" s="126"/>
      <c r="V3" s="133"/>
      <c r="W3" s="127" t="s">
        <v>15</v>
      </c>
      <c r="X3" s="126"/>
      <c r="Y3" s="126"/>
      <c r="Z3" s="114" t="s">
        <v>13</v>
      </c>
      <c r="AA3" s="115"/>
      <c r="AB3" s="116"/>
      <c r="AC3" s="114" t="s">
        <v>22</v>
      </c>
      <c r="AD3" s="115"/>
      <c r="AE3" s="116"/>
    </row>
    <row r="4" spans="4:31" ht="18" customHeight="1" x14ac:dyDescent="0.3">
      <c r="D4" s="108" t="s">
        <v>3</v>
      </c>
      <c r="E4" s="108"/>
      <c r="F4" s="108"/>
      <c r="G4" s="109"/>
      <c r="H4" s="139" t="s">
        <v>20</v>
      </c>
      <c r="I4" s="136"/>
      <c r="J4" s="136"/>
      <c r="K4" s="136" t="s">
        <v>21</v>
      </c>
      <c r="L4" s="136"/>
      <c r="M4" s="136"/>
      <c r="N4" s="137" t="s">
        <v>9</v>
      </c>
      <c r="O4" s="113"/>
      <c r="P4" s="138"/>
      <c r="Q4" s="135" t="s">
        <v>10</v>
      </c>
      <c r="R4" s="108"/>
      <c r="S4" s="108"/>
      <c r="T4" s="113" t="s">
        <v>18</v>
      </c>
      <c r="U4" s="113"/>
      <c r="V4" s="134"/>
      <c r="W4" s="124" t="s">
        <v>11</v>
      </c>
      <c r="X4" s="108"/>
      <c r="Y4" s="108"/>
      <c r="Z4" s="117" t="s">
        <v>16</v>
      </c>
      <c r="AA4" s="118"/>
      <c r="AB4" s="119"/>
      <c r="AC4" s="117" t="s">
        <v>23</v>
      </c>
      <c r="AD4" s="118"/>
      <c r="AE4" s="119"/>
    </row>
    <row r="5" spans="4:31" x14ac:dyDescent="0.3">
      <c r="D5" s="108"/>
      <c r="E5" s="108"/>
      <c r="F5" s="108"/>
      <c r="G5" s="109"/>
      <c r="H5" s="139"/>
      <c r="I5" s="136"/>
      <c r="J5" s="136"/>
      <c r="K5" s="136"/>
      <c r="L5" s="136"/>
      <c r="M5" s="136"/>
      <c r="N5" s="137"/>
      <c r="O5" s="113"/>
      <c r="P5" s="138"/>
      <c r="Q5" s="135"/>
      <c r="R5" s="108"/>
      <c r="S5" s="108"/>
      <c r="T5" s="113"/>
      <c r="U5" s="113"/>
      <c r="V5" s="134"/>
      <c r="W5" s="124"/>
      <c r="X5" s="108"/>
      <c r="Y5" s="108"/>
      <c r="Z5" s="120"/>
      <c r="AA5" s="84"/>
      <c r="AB5" s="88"/>
      <c r="AC5" s="120"/>
      <c r="AD5" s="84"/>
      <c r="AE5" s="88"/>
    </row>
    <row r="6" spans="4:31" x14ac:dyDescent="0.3">
      <c r="D6" s="108"/>
      <c r="E6" s="108"/>
      <c r="F6" s="108"/>
      <c r="G6" s="109"/>
      <c r="H6" s="139"/>
      <c r="I6" s="136"/>
      <c r="J6" s="136"/>
      <c r="K6" s="136"/>
      <c r="L6" s="136"/>
      <c r="M6" s="136"/>
      <c r="N6" s="137"/>
      <c r="O6" s="113"/>
      <c r="P6" s="138"/>
      <c r="Q6" s="135"/>
      <c r="R6" s="108"/>
      <c r="S6" s="108"/>
      <c r="T6" s="113"/>
      <c r="U6" s="113"/>
      <c r="V6" s="134"/>
      <c r="W6" s="124"/>
      <c r="X6" s="108"/>
      <c r="Y6" s="108"/>
      <c r="Z6" s="121"/>
      <c r="AA6" s="122"/>
      <c r="AB6" s="123"/>
      <c r="AC6" s="121"/>
      <c r="AD6" s="122"/>
      <c r="AE6" s="123"/>
    </row>
    <row r="7" spans="4:31" ht="20.399999999999999" x14ac:dyDescent="0.3">
      <c r="D7" s="108" t="s">
        <v>4</v>
      </c>
      <c r="E7" s="108"/>
      <c r="F7" s="108" t="s">
        <v>5</v>
      </c>
      <c r="G7" s="109"/>
      <c r="H7" s="11" t="s">
        <v>0</v>
      </c>
      <c r="I7" s="9" t="s">
        <v>1</v>
      </c>
      <c r="J7" s="9" t="s">
        <v>2</v>
      </c>
      <c r="K7" s="9" t="s">
        <v>0</v>
      </c>
      <c r="L7" s="9" t="s">
        <v>1</v>
      </c>
      <c r="M7" s="9" t="s">
        <v>6</v>
      </c>
      <c r="N7" s="3" t="s">
        <v>0</v>
      </c>
      <c r="O7" s="2" t="s">
        <v>1</v>
      </c>
      <c r="P7" s="12" t="s">
        <v>6</v>
      </c>
      <c r="Q7" s="3" t="s">
        <v>0</v>
      </c>
      <c r="R7" s="2" t="s">
        <v>1</v>
      </c>
      <c r="S7" s="2" t="s">
        <v>6</v>
      </c>
      <c r="T7" s="2" t="s">
        <v>0</v>
      </c>
      <c r="U7" s="2" t="s">
        <v>1</v>
      </c>
      <c r="V7" s="5" t="s">
        <v>6</v>
      </c>
      <c r="W7" s="4" t="s">
        <v>0</v>
      </c>
      <c r="X7" s="2" t="s">
        <v>1</v>
      </c>
      <c r="Y7" s="2" t="s">
        <v>6</v>
      </c>
      <c r="Z7" s="2" t="s">
        <v>0</v>
      </c>
      <c r="AA7" s="2" t="s">
        <v>1</v>
      </c>
      <c r="AB7" s="5" t="s">
        <v>6</v>
      </c>
      <c r="AC7" s="2" t="s">
        <v>0</v>
      </c>
      <c r="AD7" s="2" t="s">
        <v>1</v>
      </c>
      <c r="AE7" s="5" t="s">
        <v>6</v>
      </c>
    </row>
    <row r="8" spans="4:31" x14ac:dyDescent="0.3">
      <c r="D8" s="108">
        <v>8</v>
      </c>
      <c r="E8" s="108"/>
      <c r="F8" s="108">
        <v>8</v>
      </c>
      <c r="G8" s="109"/>
      <c r="H8" s="11">
        <v>331</v>
      </c>
      <c r="I8" s="9">
        <v>306</v>
      </c>
      <c r="J8" s="9">
        <v>321</v>
      </c>
      <c r="K8" s="9">
        <v>374</v>
      </c>
      <c r="L8" s="9">
        <v>254</v>
      </c>
      <c r="M8" s="9">
        <v>332</v>
      </c>
      <c r="N8" s="3">
        <v>868</v>
      </c>
      <c r="O8" s="2">
        <v>541</v>
      </c>
      <c r="P8" s="12">
        <v>382</v>
      </c>
      <c r="Q8" s="3">
        <v>6641</v>
      </c>
      <c r="R8" s="2">
        <v>5245</v>
      </c>
      <c r="S8" s="2">
        <v>276</v>
      </c>
      <c r="T8" s="2">
        <v>6557</v>
      </c>
      <c r="U8" s="2">
        <v>5523</v>
      </c>
      <c r="V8" s="5">
        <v>294</v>
      </c>
      <c r="W8" s="4">
        <v>3800</v>
      </c>
      <c r="X8" s="2">
        <v>3629</v>
      </c>
      <c r="Y8" s="2">
        <v>246</v>
      </c>
      <c r="Z8" s="2">
        <v>3968</v>
      </c>
      <c r="AA8" s="2">
        <v>3734</v>
      </c>
      <c r="AB8" s="5">
        <v>297</v>
      </c>
      <c r="AC8" s="2">
        <v>763</v>
      </c>
      <c r="AD8" s="2">
        <v>624</v>
      </c>
      <c r="AE8" s="5">
        <v>368</v>
      </c>
    </row>
    <row r="9" spans="4:31" x14ac:dyDescent="0.3">
      <c r="D9" s="108">
        <v>10</v>
      </c>
      <c r="E9" s="108"/>
      <c r="F9" s="108">
        <v>16</v>
      </c>
      <c r="G9" s="109"/>
      <c r="H9" s="11">
        <v>504</v>
      </c>
      <c r="I9" s="9">
        <v>507</v>
      </c>
      <c r="J9" s="9">
        <v>305</v>
      </c>
      <c r="K9" s="9">
        <v>522</v>
      </c>
      <c r="L9" s="9">
        <v>395</v>
      </c>
      <c r="M9" s="9">
        <v>326</v>
      </c>
      <c r="N9" s="3">
        <v>1052</v>
      </c>
      <c r="O9" s="2">
        <v>702</v>
      </c>
      <c r="P9" s="12">
        <v>372</v>
      </c>
      <c r="Q9" s="3">
        <v>10250</v>
      </c>
      <c r="R9" s="2">
        <v>8127</v>
      </c>
      <c r="S9" s="2">
        <v>282</v>
      </c>
      <c r="T9" s="2">
        <v>10169</v>
      </c>
      <c r="U9" s="2">
        <v>8570</v>
      </c>
      <c r="V9" s="5">
        <v>271</v>
      </c>
      <c r="W9" s="4">
        <v>5511</v>
      </c>
      <c r="X9" s="2">
        <v>5209</v>
      </c>
      <c r="Y9" s="2">
        <v>242</v>
      </c>
      <c r="Z9" s="2">
        <v>5807</v>
      </c>
      <c r="AA9" s="2">
        <v>5764</v>
      </c>
      <c r="AB9" s="5">
        <v>291</v>
      </c>
      <c r="AC9" s="2">
        <v>1231</v>
      </c>
      <c r="AD9" s="2">
        <v>1023</v>
      </c>
      <c r="AE9" s="5">
        <v>356</v>
      </c>
    </row>
    <row r="10" spans="4:31" ht="18.600000000000001" thickBot="1" x14ac:dyDescent="0.35">
      <c r="D10" s="108">
        <v>10</v>
      </c>
      <c r="E10" s="108"/>
      <c r="F10" s="108">
        <v>32</v>
      </c>
      <c r="G10" s="109"/>
      <c r="H10" s="13">
        <v>761</v>
      </c>
      <c r="I10" s="14">
        <v>864</v>
      </c>
      <c r="J10" s="14">
        <v>300</v>
      </c>
      <c r="K10" s="14">
        <v>776</v>
      </c>
      <c r="L10" s="14">
        <v>616</v>
      </c>
      <c r="M10" s="14">
        <v>308</v>
      </c>
      <c r="N10" s="15">
        <v>1709</v>
      </c>
      <c r="O10" s="16">
        <v>830</v>
      </c>
      <c r="P10" s="17">
        <v>363</v>
      </c>
      <c r="Q10" s="10">
        <v>15069</v>
      </c>
      <c r="R10" s="7">
        <v>14526</v>
      </c>
      <c r="S10" s="7">
        <v>278</v>
      </c>
      <c r="T10" s="7">
        <v>15837</v>
      </c>
      <c r="U10" s="7">
        <v>14265</v>
      </c>
      <c r="V10" s="8">
        <v>276</v>
      </c>
      <c r="W10" s="6">
        <v>8367</v>
      </c>
      <c r="X10" s="7">
        <v>8997</v>
      </c>
      <c r="Y10" s="7">
        <v>231</v>
      </c>
      <c r="Z10" s="7">
        <v>9107</v>
      </c>
      <c r="AA10" s="7">
        <v>8871</v>
      </c>
      <c r="AB10" s="8">
        <v>296</v>
      </c>
      <c r="AC10" s="7">
        <v>1857</v>
      </c>
      <c r="AD10" s="7">
        <v>8871</v>
      </c>
      <c r="AE10" s="8">
        <v>375</v>
      </c>
    </row>
    <row r="11" spans="4:31" x14ac:dyDescent="0.3">
      <c r="H11" s="131" t="s">
        <v>24</v>
      </c>
      <c r="I11" s="131"/>
      <c r="J11" s="131"/>
      <c r="K11" s="131"/>
      <c r="L11" s="131"/>
      <c r="M11" s="131"/>
      <c r="N11" s="131"/>
      <c r="O11" s="131"/>
      <c r="P11" s="131"/>
    </row>
    <row r="12" spans="4:31" ht="23.4" x14ac:dyDescent="0.3">
      <c r="O12" s="19" t="s">
        <v>25</v>
      </c>
    </row>
    <row r="13" spans="4:31" x14ac:dyDescent="0.3">
      <c r="N13" s="84" t="s">
        <v>19</v>
      </c>
      <c r="O13" s="84"/>
      <c r="P13" s="84"/>
    </row>
    <row r="14" spans="4:31" x14ac:dyDescent="0.3">
      <c r="N14" s="84"/>
      <c r="O14" s="84"/>
      <c r="P14" s="84"/>
    </row>
    <row r="15" spans="4:31" x14ac:dyDescent="0.3">
      <c r="N15" s="84"/>
      <c r="O15" s="84"/>
      <c r="P15" s="84"/>
    </row>
    <row r="17" spans="5:36" x14ac:dyDescent="0.3">
      <c r="H17" s="108" t="s">
        <v>26</v>
      </c>
      <c r="I17" s="108"/>
      <c r="J17" s="108"/>
      <c r="K17" s="108" t="s">
        <v>26</v>
      </c>
      <c r="L17" s="108"/>
      <c r="M17" s="108"/>
      <c r="S17"/>
      <c r="T17"/>
      <c r="U17"/>
    </row>
    <row r="18" spans="5:36" x14ac:dyDescent="0.3">
      <c r="H18" s="113" t="s">
        <v>28</v>
      </c>
      <c r="I18" s="113"/>
      <c r="J18" s="113"/>
      <c r="K18" s="113" t="s">
        <v>29</v>
      </c>
      <c r="L18" s="113"/>
      <c r="M18" s="113"/>
      <c r="S18" s="113" t="s">
        <v>32</v>
      </c>
      <c r="T18" s="113"/>
      <c r="U18" s="113"/>
      <c r="AA18" s="113" t="s">
        <v>35</v>
      </c>
      <c r="AB18" s="113"/>
      <c r="AC18" s="113"/>
      <c r="AH18" s="113" t="s">
        <v>36</v>
      </c>
      <c r="AI18" s="113"/>
      <c r="AJ18" s="113"/>
    </row>
    <row r="19" spans="5:36" x14ac:dyDescent="0.3">
      <c r="H19" s="113"/>
      <c r="I19" s="113"/>
      <c r="J19" s="113"/>
      <c r="K19" s="113"/>
      <c r="L19" s="113"/>
      <c r="M19" s="113"/>
      <c r="S19" s="113"/>
      <c r="T19" s="113"/>
      <c r="U19" s="113"/>
      <c r="AA19" s="113"/>
      <c r="AB19" s="113"/>
      <c r="AC19" s="113"/>
      <c r="AH19" s="113"/>
      <c r="AI19" s="113"/>
      <c r="AJ19" s="113"/>
    </row>
    <row r="20" spans="5:36" ht="18" customHeight="1" x14ac:dyDescent="0.3">
      <c r="H20" s="113"/>
      <c r="I20" s="113"/>
      <c r="J20" s="113"/>
      <c r="K20" s="113"/>
      <c r="L20" s="113"/>
      <c r="M20" s="113"/>
      <c r="S20" s="113"/>
      <c r="T20" s="113"/>
      <c r="U20" s="113"/>
      <c r="AA20" s="113"/>
      <c r="AB20" s="113"/>
      <c r="AC20" s="113"/>
      <c r="AH20" s="113"/>
      <c r="AI20" s="113"/>
      <c r="AJ20" s="113"/>
    </row>
    <row r="21" spans="5:36" ht="36" x14ac:dyDescent="0.3">
      <c r="E21" s="113" t="s">
        <v>30</v>
      </c>
      <c r="F21" s="113"/>
      <c r="G21" s="2" t="s">
        <v>27</v>
      </c>
      <c r="H21" s="2" t="s">
        <v>0</v>
      </c>
      <c r="I21" s="2" t="s">
        <v>1</v>
      </c>
      <c r="J21" s="2" t="s">
        <v>2</v>
      </c>
      <c r="K21" s="2" t="s">
        <v>0</v>
      </c>
      <c r="L21" s="2" t="s">
        <v>1</v>
      </c>
      <c r="M21" s="2" t="s">
        <v>2</v>
      </c>
      <c r="O21" s="113" t="s">
        <v>34</v>
      </c>
      <c r="P21" s="113"/>
      <c r="Q21" s="18" t="s">
        <v>33</v>
      </c>
      <c r="R21" s="2" t="s">
        <v>31</v>
      </c>
      <c r="S21" s="2" t="s">
        <v>0</v>
      </c>
      <c r="T21" s="2" t="s">
        <v>1</v>
      </c>
      <c r="U21" s="2" t="s">
        <v>2</v>
      </c>
      <c r="W21"/>
      <c r="X21" s="113" t="s">
        <v>34</v>
      </c>
      <c r="Y21" s="113"/>
      <c r="Z21" s="2" t="s">
        <v>31</v>
      </c>
      <c r="AA21" s="2" t="s">
        <v>0</v>
      </c>
      <c r="AB21" s="2" t="s">
        <v>1</v>
      </c>
      <c r="AC21" s="2" t="s">
        <v>2</v>
      </c>
      <c r="AE21" s="113" t="s">
        <v>37</v>
      </c>
      <c r="AF21" s="113"/>
      <c r="AG21" s="18" t="s">
        <v>38</v>
      </c>
      <c r="AH21" s="2" t="s">
        <v>0</v>
      </c>
      <c r="AI21" s="2" t="s">
        <v>1</v>
      </c>
      <c r="AJ21" s="2" t="s">
        <v>2</v>
      </c>
    </row>
    <row r="22" spans="5:36" ht="18" customHeight="1" x14ac:dyDescent="0.3">
      <c r="E22" s="113"/>
      <c r="F22" s="113"/>
      <c r="G22" s="2">
        <v>4</v>
      </c>
      <c r="H22" s="2">
        <v>285</v>
      </c>
      <c r="I22" s="2">
        <v>198</v>
      </c>
      <c r="J22" s="2">
        <v>323</v>
      </c>
      <c r="K22" s="2">
        <v>271</v>
      </c>
      <c r="L22" s="2">
        <v>181</v>
      </c>
      <c r="M22" s="2">
        <v>578</v>
      </c>
      <c r="O22" s="113"/>
      <c r="P22" s="113"/>
      <c r="Q22" s="18">
        <v>8</v>
      </c>
      <c r="R22" s="2">
        <v>4</v>
      </c>
      <c r="S22" s="2">
        <v>1767</v>
      </c>
      <c r="T22" s="2">
        <v>1674</v>
      </c>
      <c r="U22" s="2">
        <v>455</v>
      </c>
      <c r="W22"/>
      <c r="X22" s="113"/>
      <c r="Y22" s="113"/>
      <c r="Z22" s="2">
        <v>4</v>
      </c>
      <c r="AA22" s="2">
        <v>386</v>
      </c>
      <c r="AB22" s="2">
        <v>365</v>
      </c>
      <c r="AC22" s="2">
        <v>555</v>
      </c>
      <c r="AE22" s="113"/>
      <c r="AF22" s="113"/>
      <c r="AG22" s="2">
        <v>2</v>
      </c>
      <c r="AH22" s="2">
        <v>986</v>
      </c>
      <c r="AI22" s="2">
        <v>936</v>
      </c>
      <c r="AJ22" s="2">
        <v>557</v>
      </c>
    </row>
    <row r="23" spans="5:36" x14ac:dyDescent="0.3">
      <c r="E23" s="113"/>
      <c r="F23" s="113"/>
      <c r="G23" s="2">
        <v>8</v>
      </c>
      <c r="H23" s="2">
        <v>1066</v>
      </c>
      <c r="I23" s="2">
        <v>498</v>
      </c>
      <c r="J23" s="2">
        <v>230</v>
      </c>
      <c r="K23" s="2">
        <v>1028</v>
      </c>
      <c r="L23" s="2">
        <v>675</v>
      </c>
      <c r="M23" s="2">
        <v>476</v>
      </c>
      <c r="O23" s="113"/>
      <c r="P23" s="113"/>
      <c r="Q23" s="18">
        <v>12</v>
      </c>
      <c r="R23" s="2">
        <v>8</v>
      </c>
      <c r="S23" s="2">
        <v>2671</v>
      </c>
      <c r="T23" s="2">
        <v>2374</v>
      </c>
      <c r="U23" s="2">
        <v>462</v>
      </c>
      <c r="W23"/>
      <c r="X23" s="113"/>
      <c r="Y23" s="113"/>
      <c r="Z23" s="2">
        <v>8</v>
      </c>
      <c r="AA23" s="2">
        <v>983</v>
      </c>
      <c r="AB23" s="2">
        <v>935</v>
      </c>
      <c r="AC23" s="2">
        <v>542</v>
      </c>
      <c r="AE23" s="113"/>
      <c r="AF23" s="113"/>
      <c r="AG23" s="2">
        <v>4</v>
      </c>
      <c r="AH23" s="2">
        <v>2883</v>
      </c>
      <c r="AI23" s="2">
        <v>2793</v>
      </c>
      <c r="AJ23" s="2">
        <v>456</v>
      </c>
    </row>
    <row r="24" spans="5:36" x14ac:dyDescent="0.3">
      <c r="E24" s="113"/>
      <c r="F24" s="113"/>
      <c r="G24" s="2">
        <v>16</v>
      </c>
      <c r="H24" s="2">
        <v>3763</v>
      </c>
      <c r="I24" s="2">
        <v>3634</v>
      </c>
      <c r="J24" s="2">
        <v>155</v>
      </c>
      <c r="K24" s="2">
        <v>3667</v>
      </c>
      <c r="L24" s="2">
        <v>2291</v>
      </c>
      <c r="M24" s="2">
        <v>387</v>
      </c>
      <c r="O24" s="113"/>
      <c r="P24" s="113"/>
      <c r="Q24" s="18">
        <v>16</v>
      </c>
      <c r="R24" s="2">
        <v>12</v>
      </c>
      <c r="S24" s="2">
        <v>3107</v>
      </c>
      <c r="T24" s="2">
        <v>2882</v>
      </c>
      <c r="U24" s="2">
        <v>390</v>
      </c>
      <c r="W24"/>
      <c r="X24" s="113"/>
      <c r="Y24" s="113"/>
      <c r="Z24" s="2">
        <v>16</v>
      </c>
      <c r="AA24" s="2">
        <v>2446</v>
      </c>
      <c r="AB24" s="2">
        <v>2296</v>
      </c>
      <c r="AC24" s="2">
        <v>493</v>
      </c>
      <c r="AE24" s="113"/>
      <c r="AF24" s="113"/>
      <c r="AG24" s="2">
        <v>8</v>
      </c>
      <c r="AH24" s="2">
        <v>6718</v>
      </c>
      <c r="AI24" s="2">
        <v>6423</v>
      </c>
      <c r="AJ24" s="2">
        <v>438</v>
      </c>
    </row>
    <row r="26" spans="5:36" ht="18.600000000000001" thickBot="1" x14ac:dyDescent="0.35"/>
    <row r="27" spans="5:36" x14ac:dyDescent="0.3">
      <c r="E27" s="90" t="s">
        <v>39</v>
      </c>
      <c r="F27" s="91"/>
      <c r="G27" s="91"/>
      <c r="H27" s="91"/>
      <c r="I27" s="91"/>
      <c r="J27" s="91"/>
      <c r="K27" s="91"/>
      <c r="L27" s="91"/>
      <c r="M27" s="91"/>
      <c r="N27" s="92"/>
      <c r="S27" s="90" t="s">
        <v>39</v>
      </c>
      <c r="T27" s="91"/>
      <c r="U27" s="91"/>
      <c r="V27" s="91"/>
      <c r="W27" s="91"/>
      <c r="X27" s="91"/>
      <c r="Y27" s="91"/>
      <c r="Z27" s="91"/>
      <c r="AA27" s="91"/>
      <c r="AB27" s="92"/>
    </row>
    <row r="28" spans="5:36" x14ac:dyDescent="0.3">
      <c r="E28" s="93"/>
      <c r="F28" s="94"/>
      <c r="G28" s="94"/>
      <c r="H28" s="94"/>
      <c r="I28" s="94"/>
      <c r="J28" s="94"/>
      <c r="K28" s="94"/>
      <c r="L28" s="94"/>
      <c r="M28" s="94"/>
      <c r="N28" s="95"/>
      <c r="S28" s="93"/>
      <c r="T28" s="94"/>
      <c r="U28" s="94"/>
      <c r="V28" s="94"/>
      <c r="W28" s="94"/>
      <c r="X28" s="94"/>
      <c r="Y28" s="94"/>
      <c r="Z28" s="94"/>
      <c r="AA28" s="94"/>
      <c r="AB28" s="95"/>
    </row>
    <row r="29" spans="5:36" ht="18.600000000000001" thickBot="1" x14ac:dyDescent="0.35">
      <c r="E29" s="96"/>
      <c r="F29" s="97"/>
      <c r="G29" s="97"/>
      <c r="H29" s="97"/>
      <c r="I29" s="97"/>
      <c r="J29" s="97"/>
      <c r="K29" s="97"/>
      <c r="L29" s="97"/>
      <c r="M29" s="97"/>
      <c r="N29" s="98"/>
      <c r="S29" s="96"/>
      <c r="T29" s="97"/>
      <c r="U29" s="97"/>
      <c r="V29" s="97"/>
      <c r="W29" s="97"/>
      <c r="X29" s="97"/>
      <c r="Y29" s="97"/>
      <c r="Z29" s="97"/>
      <c r="AA29" s="97"/>
      <c r="AB29" s="98"/>
    </row>
    <row r="30" spans="5:36" ht="20.399999999999999" customHeight="1" x14ac:dyDescent="0.3">
      <c r="E30" s="81" t="s">
        <v>44</v>
      </c>
      <c r="F30" s="87"/>
      <c r="G30" s="24" t="s">
        <v>33</v>
      </c>
      <c r="H30" s="20" t="s">
        <v>40</v>
      </c>
      <c r="I30" s="20" t="s">
        <v>41</v>
      </c>
      <c r="J30" s="20" t="s">
        <v>42</v>
      </c>
      <c r="K30" s="20" t="s">
        <v>43</v>
      </c>
      <c r="L30" s="20" t="s">
        <v>0</v>
      </c>
      <c r="M30" s="20" t="s">
        <v>1</v>
      </c>
      <c r="N30" s="22" t="s">
        <v>2</v>
      </c>
      <c r="S30" s="81" t="s">
        <v>44</v>
      </c>
      <c r="T30" s="87"/>
      <c r="U30" s="24" t="s">
        <v>33</v>
      </c>
      <c r="V30" s="20" t="s">
        <v>40</v>
      </c>
      <c r="W30" s="20" t="s">
        <v>41</v>
      </c>
      <c r="X30" s="20" t="s">
        <v>42</v>
      </c>
      <c r="Y30" s="20" t="s">
        <v>43</v>
      </c>
      <c r="Z30" s="20" t="s">
        <v>0</v>
      </c>
      <c r="AA30" s="20" t="s">
        <v>1</v>
      </c>
      <c r="AB30" s="22" t="s">
        <v>2</v>
      </c>
    </row>
    <row r="31" spans="5:36" x14ac:dyDescent="0.3">
      <c r="E31" s="83"/>
      <c r="F31" s="88"/>
      <c r="G31" s="23">
        <v>4</v>
      </c>
      <c r="H31" s="2">
        <v>2</v>
      </c>
      <c r="I31" s="2">
        <v>2</v>
      </c>
      <c r="J31" s="2">
        <v>2</v>
      </c>
      <c r="K31" s="2">
        <v>2</v>
      </c>
      <c r="L31" s="2">
        <v>2175</v>
      </c>
      <c r="M31" s="2">
        <v>2480</v>
      </c>
      <c r="N31" s="5">
        <v>479</v>
      </c>
      <c r="S31" s="83"/>
      <c r="T31" s="88"/>
      <c r="U31" s="23">
        <v>4</v>
      </c>
      <c r="V31" s="2">
        <v>2</v>
      </c>
      <c r="W31" s="2">
        <v>2</v>
      </c>
      <c r="X31" s="2">
        <v>2</v>
      </c>
      <c r="Y31" s="2">
        <v>2</v>
      </c>
      <c r="Z31" s="2">
        <v>2175</v>
      </c>
      <c r="AA31" s="2">
        <v>2480</v>
      </c>
      <c r="AB31" s="5">
        <v>479</v>
      </c>
    </row>
    <row r="32" spans="5:36" x14ac:dyDescent="0.3">
      <c r="E32" s="83"/>
      <c r="F32" s="88"/>
      <c r="G32" s="23">
        <v>4</v>
      </c>
      <c r="H32" s="2">
        <v>4</v>
      </c>
      <c r="I32" s="2">
        <v>4</v>
      </c>
      <c r="J32" s="2">
        <v>4</v>
      </c>
      <c r="K32" s="2">
        <v>2</v>
      </c>
      <c r="L32" s="2">
        <v>6171</v>
      </c>
      <c r="M32" s="2">
        <v>6193</v>
      </c>
      <c r="N32" s="5">
        <v>300</v>
      </c>
      <c r="S32" s="83"/>
      <c r="T32" s="88"/>
      <c r="U32" s="23">
        <v>4</v>
      </c>
      <c r="V32" s="2">
        <v>4</v>
      </c>
      <c r="W32" s="2">
        <v>4</v>
      </c>
      <c r="X32" s="2">
        <v>4</v>
      </c>
      <c r="Y32" s="2">
        <v>2</v>
      </c>
      <c r="Z32" s="2">
        <v>6171</v>
      </c>
      <c r="AA32" s="2">
        <v>6193</v>
      </c>
      <c r="AB32" s="5">
        <v>315</v>
      </c>
    </row>
    <row r="33" spans="5:31" x14ac:dyDescent="0.3">
      <c r="E33" s="83"/>
      <c r="F33" s="88"/>
      <c r="G33" s="23">
        <v>4</v>
      </c>
      <c r="H33" s="2">
        <v>4</v>
      </c>
      <c r="I33" s="2">
        <v>4</v>
      </c>
      <c r="J33" s="2">
        <v>8</v>
      </c>
      <c r="K33" s="2">
        <v>2</v>
      </c>
      <c r="L33" s="2">
        <v>12422</v>
      </c>
      <c r="M33" s="2">
        <v>12448</v>
      </c>
      <c r="N33" s="5">
        <v>276</v>
      </c>
      <c r="S33" s="83"/>
      <c r="T33" s="88"/>
      <c r="U33" s="23">
        <v>4</v>
      </c>
      <c r="V33" s="2">
        <v>4</v>
      </c>
      <c r="W33" s="2">
        <v>4</v>
      </c>
      <c r="X33" s="2">
        <v>8</v>
      </c>
      <c r="Y33" s="2">
        <v>2</v>
      </c>
      <c r="Z33" s="2">
        <v>12422</v>
      </c>
      <c r="AA33" s="2">
        <v>12448</v>
      </c>
      <c r="AB33" s="5">
        <v>305</v>
      </c>
    </row>
    <row r="34" spans="5:31" x14ac:dyDescent="0.3">
      <c r="E34" s="83"/>
      <c r="F34" s="88"/>
      <c r="G34" s="23">
        <v>4</v>
      </c>
      <c r="H34" s="2">
        <v>4</v>
      </c>
      <c r="I34" s="2">
        <v>4</v>
      </c>
      <c r="J34" s="2">
        <v>8</v>
      </c>
      <c r="K34" s="2">
        <v>4</v>
      </c>
      <c r="L34" s="2">
        <v>28834</v>
      </c>
      <c r="M34" s="2">
        <v>27684</v>
      </c>
      <c r="N34" s="5">
        <v>290</v>
      </c>
      <c r="S34" s="83"/>
      <c r="T34" s="88"/>
      <c r="U34" s="23">
        <v>4</v>
      </c>
      <c r="V34" s="2">
        <v>4</v>
      </c>
      <c r="W34" s="2">
        <v>4</v>
      </c>
      <c r="X34" s="2">
        <v>8</v>
      </c>
      <c r="Y34" s="2">
        <v>4</v>
      </c>
      <c r="Z34" s="2">
        <v>28834</v>
      </c>
      <c r="AA34" s="2">
        <v>27684</v>
      </c>
      <c r="AB34" s="5">
        <v>304</v>
      </c>
    </row>
    <row r="35" spans="5:31" x14ac:dyDescent="0.3">
      <c r="E35" s="83"/>
      <c r="F35" s="88"/>
      <c r="G35" s="23">
        <v>8</v>
      </c>
      <c r="H35" s="2">
        <v>8</v>
      </c>
      <c r="I35" s="2">
        <v>8</v>
      </c>
      <c r="J35" s="2">
        <v>8</v>
      </c>
      <c r="K35" s="2">
        <v>2</v>
      </c>
      <c r="L35" s="2">
        <v>31853</v>
      </c>
      <c r="M35" s="2">
        <v>27935</v>
      </c>
      <c r="N35" s="5">
        <v>320</v>
      </c>
      <c r="S35" s="83"/>
      <c r="T35" s="88"/>
      <c r="U35" s="23">
        <v>8</v>
      </c>
      <c r="V35" s="2">
        <v>8</v>
      </c>
      <c r="W35" s="2">
        <v>8</v>
      </c>
      <c r="X35" s="2">
        <v>8</v>
      </c>
      <c r="Y35" s="2">
        <v>2</v>
      </c>
      <c r="Z35" s="2">
        <v>31853</v>
      </c>
      <c r="AA35" s="2">
        <v>27935</v>
      </c>
      <c r="AB35" s="5">
        <v>320</v>
      </c>
    </row>
    <row r="36" spans="5:31" ht="20.399999999999999" customHeight="1" thickBot="1" x14ac:dyDescent="0.35">
      <c r="E36" s="83"/>
      <c r="F36" s="88"/>
      <c r="G36" s="23">
        <v>8</v>
      </c>
      <c r="H36" s="2">
        <v>8</v>
      </c>
      <c r="I36" s="2">
        <v>8</v>
      </c>
      <c r="J36" s="2">
        <v>8</v>
      </c>
      <c r="K36" s="2">
        <v>4</v>
      </c>
      <c r="L36" s="2">
        <v>75076</v>
      </c>
      <c r="M36" s="2">
        <v>65148</v>
      </c>
      <c r="N36" s="5">
        <v>291</v>
      </c>
      <c r="S36" s="83"/>
      <c r="T36" s="88"/>
      <c r="U36" s="23">
        <v>8</v>
      </c>
      <c r="V36" s="2">
        <v>8</v>
      </c>
      <c r="W36" s="2">
        <v>8</v>
      </c>
      <c r="X36" s="2">
        <v>8</v>
      </c>
      <c r="Y36" s="2">
        <v>4</v>
      </c>
      <c r="Z36" s="2">
        <v>75076</v>
      </c>
      <c r="AA36" s="2">
        <v>65148</v>
      </c>
      <c r="AB36" s="5">
        <v>297</v>
      </c>
    </row>
    <row r="37" spans="5:31" ht="20.399999999999999" customHeight="1" thickBot="1" x14ac:dyDescent="0.35">
      <c r="E37" s="85"/>
      <c r="F37" s="89"/>
      <c r="G37" s="25">
        <v>12</v>
      </c>
      <c r="H37" s="7">
        <v>12</v>
      </c>
      <c r="I37" s="7">
        <v>12</v>
      </c>
      <c r="J37" s="7">
        <v>8</v>
      </c>
      <c r="K37" s="7">
        <v>4</v>
      </c>
      <c r="L37" s="7">
        <v>242691</v>
      </c>
      <c r="M37" s="7">
        <v>242553</v>
      </c>
      <c r="N37" s="8">
        <v>304</v>
      </c>
      <c r="Q37"/>
      <c r="S37" s="85"/>
      <c r="T37" s="89"/>
      <c r="U37" s="25">
        <v>12</v>
      </c>
      <c r="V37" s="7">
        <v>12</v>
      </c>
      <c r="W37" s="7">
        <v>12</v>
      </c>
      <c r="X37" s="7">
        <v>8</v>
      </c>
      <c r="Y37" s="7">
        <v>4</v>
      </c>
      <c r="Z37" s="26">
        <v>242691</v>
      </c>
      <c r="AA37" s="26">
        <v>242553</v>
      </c>
      <c r="AB37" s="8">
        <v>304</v>
      </c>
      <c r="AC37" s="141" t="s">
        <v>48</v>
      </c>
      <c r="AD37" s="142"/>
    </row>
    <row r="38" spans="5:31" ht="18" customHeight="1" x14ac:dyDescent="0.3">
      <c r="E38" s="83" t="s">
        <v>47</v>
      </c>
      <c r="F38" s="88"/>
      <c r="G38" s="24" t="s">
        <v>33</v>
      </c>
      <c r="H38" s="20" t="s">
        <v>40</v>
      </c>
      <c r="I38" s="20" t="s">
        <v>41</v>
      </c>
      <c r="J38" s="20" t="s">
        <v>42</v>
      </c>
      <c r="K38" s="20" t="s">
        <v>43</v>
      </c>
      <c r="L38" s="20" t="s">
        <v>0</v>
      </c>
      <c r="M38" s="20" t="s">
        <v>1</v>
      </c>
      <c r="N38" s="22" t="s">
        <v>2</v>
      </c>
      <c r="O38" s="21" t="s">
        <v>45</v>
      </c>
      <c r="P38" s="22" t="s">
        <v>46</v>
      </c>
      <c r="Q38"/>
      <c r="S38" s="83" t="s">
        <v>47</v>
      </c>
      <c r="T38" s="88"/>
      <c r="U38" s="24" t="s">
        <v>33</v>
      </c>
      <c r="V38" s="20" t="s">
        <v>40</v>
      </c>
      <c r="W38" s="20" t="s">
        <v>41</v>
      </c>
      <c r="X38" s="20" t="s">
        <v>42</v>
      </c>
      <c r="Y38" s="20" t="s">
        <v>43</v>
      </c>
      <c r="Z38" s="20" t="s">
        <v>0</v>
      </c>
      <c r="AA38" s="20" t="s">
        <v>1</v>
      </c>
      <c r="AB38" s="22" t="s">
        <v>2</v>
      </c>
      <c r="AC38" s="21" t="s">
        <v>45</v>
      </c>
      <c r="AD38" s="22" t="s">
        <v>46</v>
      </c>
    </row>
    <row r="39" spans="5:31" x14ac:dyDescent="0.3">
      <c r="E39" s="83"/>
      <c r="F39" s="88"/>
      <c r="G39" s="23">
        <v>4</v>
      </c>
      <c r="H39" s="2">
        <v>2</v>
      </c>
      <c r="I39" s="2">
        <v>2</v>
      </c>
      <c r="J39" s="2">
        <v>2</v>
      </c>
      <c r="K39" s="2">
        <v>2</v>
      </c>
      <c r="L39" s="2">
        <v>1935</v>
      </c>
      <c r="M39" s="2">
        <v>2990</v>
      </c>
      <c r="N39" s="5">
        <v>518</v>
      </c>
      <c r="O39" s="4">
        <f t="shared" ref="O39:O45" si="0">-(L31-L39)/L31*100</f>
        <v>-11.03448275862069</v>
      </c>
      <c r="P39" s="5">
        <f t="shared" ref="P39:P45" si="1">-(M31-M39)/M39*100</f>
        <v>17.056856187290968</v>
      </c>
      <c r="Q39"/>
      <c r="S39" s="83"/>
      <c r="T39" s="88"/>
      <c r="U39" s="23">
        <v>4</v>
      </c>
      <c r="V39" s="2">
        <v>2</v>
      </c>
      <c r="W39" s="2">
        <v>2</v>
      </c>
      <c r="X39" s="2">
        <v>2</v>
      </c>
      <c r="Y39" s="2">
        <v>2</v>
      </c>
      <c r="Z39" s="2">
        <v>1935</v>
      </c>
      <c r="AA39" s="2">
        <v>2990</v>
      </c>
      <c r="AB39" s="5">
        <v>518</v>
      </c>
      <c r="AC39" s="4">
        <f t="shared" ref="AC39:AC45" si="2">-(Z31-Z39)/Z31*100</f>
        <v>-11.03448275862069</v>
      </c>
      <c r="AD39" s="5">
        <f t="shared" ref="AD39:AD45" si="3">-(AA31-AA39)/AA39*100</f>
        <v>17.056856187290968</v>
      </c>
    </row>
    <row r="40" spans="5:31" x14ac:dyDescent="0.3">
      <c r="E40" s="83"/>
      <c r="F40" s="88"/>
      <c r="G40" s="23">
        <v>4</v>
      </c>
      <c r="H40" s="2">
        <v>4</v>
      </c>
      <c r="I40" s="2">
        <v>4</v>
      </c>
      <c r="J40" s="2">
        <v>4</v>
      </c>
      <c r="K40" s="2">
        <v>2</v>
      </c>
      <c r="L40" s="2">
        <v>5193</v>
      </c>
      <c r="M40" s="2">
        <v>6854</v>
      </c>
      <c r="N40" s="5">
        <v>295</v>
      </c>
      <c r="O40" s="4">
        <f t="shared" si="0"/>
        <v>-15.84832280019446</v>
      </c>
      <c r="P40" s="5">
        <f t="shared" si="1"/>
        <v>9.6440035016049013</v>
      </c>
      <c r="Q40"/>
      <c r="S40" s="83"/>
      <c r="T40" s="88"/>
      <c r="U40" s="23">
        <v>4</v>
      </c>
      <c r="V40" s="2">
        <v>4</v>
      </c>
      <c r="W40" s="2">
        <v>4</v>
      </c>
      <c r="X40" s="2">
        <v>4</v>
      </c>
      <c r="Y40" s="2">
        <v>2</v>
      </c>
      <c r="Z40" s="2">
        <v>5193</v>
      </c>
      <c r="AA40" s="2">
        <v>6854</v>
      </c>
      <c r="AB40" s="5">
        <v>309</v>
      </c>
      <c r="AC40" s="4">
        <f t="shared" si="2"/>
        <v>-15.84832280019446</v>
      </c>
      <c r="AD40" s="5">
        <f t="shared" si="3"/>
        <v>9.6440035016049013</v>
      </c>
    </row>
    <row r="41" spans="5:31" x14ac:dyDescent="0.3">
      <c r="E41" s="83"/>
      <c r="F41" s="88"/>
      <c r="G41" s="23">
        <v>4</v>
      </c>
      <c r="H41" s="2">
        <v>4</v>
      </c>
      <c r="I41" s="2">
        <v>4</v>
      </c>
      <c r="J41" s="2">
        <v>8</v>
      </c>
      <c r="K41" s="2">
        <v>2</v>
      </c>
      <c r="L41" s="2">
        <v>10417</v>
      </c>
      <c r="M41" s="2">
        <v>13700</v>
      </c>
      <c r="N41" s="5">
        <v>284</v>
      </c>
      <c r="O41" s="4">
        <f t="shared" si="0"/>
        <v>-16.140718080824342</v>
      </c>
      <c r="P41" s="5">
        <f t="shared" si="1"/>
        <v>9.1386861313868604</v>
      </c>
      <c r="Q41"/>
      <c r="S41" s="83"/>
      <c r="T41" s="88"/>
      <c r="U41" s="23">
        <v>4</v>
      </c>
      <c r="V41" s="2">
        <v>4</v>
      </c>
      <c r="W41" s="2">
        <v>4</v>
      </c>
      <c r="X41" s="2">
        <v>8</v>
      </c>
      <c r="Y41" s="2">
        <v>2</v>
      </c>
      <c r="Z41" s="2">
        <v>10417</v>
      </c>
      <c r="AA41" s="2">
        <v>13700</v>
      </c>
      <c r="AB41" s="5">
        <v>303</v>
      </c>
      <c r="AC41" s="4">
        <f t="shared" si="2"/>
        <v>-16.140718080824342</v>
      </c>
      <c r="AD41" s="5">
        <f t="shared" si="3"/>
        <v>9.1386861313868604</v>
      </c>
    </row>
    <row r="42" spans="5:31" x14ac:dyDescent="0.3">
      <c r="E42" s="83"/>
      <c r="F42" s="88"/>
      <c r="G42" s="23">
        <v>4</v>
      </c>
      <c r="H42" s="2">
        <v>4</v>
      </c>
      <c r="I42" s="2">
        <v>4</v>
      </c>
      <c r="J42" s="2">
        <v>8</v>
      </c>
      <c r="K42" s="2">
        <v>4</v>
      </c>
      <c r="L42" s="2">
        <v>19702</v>
      </c>
      <c r="M42" s="2">
        <v>27835</v>
      </c>
      <c r="N42" s="5">
        <v>290</v>
      </c>
      <c r="O42" s="4">
        <f t="shared" si="0"/>
        <v>-31.670944024415622</v>
      </c>
      <c r="P42" s="5">
        <f t="shared" si="1"/>
        <v>0.54248248607867799</v>
      </c>
      <c r="S42" s="83"/>
      <c r="T42" s="88"/>
      <c r="U42" s="23">
        <v>4</v>
      </c>
      <c r="V42" s="2">
        <v>4</v>
      </c>
      <c r="W42" s="2">
        <v>4</v>
      </c>
      <c r="X42" s="2">
        <v>8</v>
      </c>
      <c r="Y42" s="2">
        <v>4</v>
      </c>
      <c r="Z42" s="2">
        <v>19702</v>
      </c>
      <c r="AA42" s="2">
        <v>27835</v>
      </c>
      <c r="AB42" s="5">
        <v>303</v>
      </c>
      <c r="AC42" s="4">
        <f t="shared" si="2"/>
        <v>-31.670944024415622</v>
      </c>
      <c r="AD42" s="5">
        <f t="shared" si="3"/>
        <v>0.54248248607867799</v>
      </c>
    </row>
    <row r="43" spans="5:31" x14ac:dyDescent="0.3">
      <c r="E43" s="83"/>
      <c r="F43" s="88"/>
      <c r="G43" s="23">
        <v>8</v>
      </c>
      <c r="H43" s="2">
        <v>8</v>
      </c>
      <c r="I43" s="2">
        <v>8</v>
      </c>
      <c r="J43" s="2">
        <v>8</v>
      </c>
      <c r="K43" s="2">
        <v>2</v>
      </c>
      <c r="L43" s="2">
        <v>23593</v>
      </c>
      <c r="M43" s="2">
        <v>28014</v>
      </c>
      <c r="N43" s="5">
        <v>332</v>
      </c>
      <c r="O43" s="4">
        <f t="shared" si="0"/>
        <v>-25.93162339497065</v>
      </c>
      <c r="P43" s="5">
        <f t="shared" si="1"/>
        <v>0.28200185621474977</v>
      </c>
      <c r="S43" s="83"/>
      <c r="T43" s="88"/>
      <c r="U43" s="23">
        <v>8</v>
      </c>
      <c r="V43" s="2">
        <v>8</v>
      </c>
      <c r="W43" s="2">
        <v>8</v>
      </c>
      <c r="X43" s="2">
        <v>8</v>
      </c>
      <c r="Y43" s="2">
        <v>2</v>
      </c>
      <c r="Z43" s="2">
        <v>23593</v>
      </c>
      <c r="AA43" s="2">
        <v>28014</v>
      </c>
      <c r="AB43" s="5">
        <v>332</v>
      </c>
      <c r="AC43" s="4">
        <f t="shared" si="2"/>
        <v>-25.93162339497065</v>
      </c>
      <c r="AD43" s="5">
        <f t="shared" si="3"/>
        <v>0.28200185621474977</v>
      </c>
    </row>
    <row r="44" spans="5:31" x14ac:dyDescent="0.3">
      <c r="E44" s="83"/>
      <c r="F44" s="88"/>
      <c r="G44" s="23">
        <v>8</v>
      </c>
      <c r="H44" s="2">
        <v>8</v>
      </c>
      <c r="I44" s="2">
        <v>8</v>
      </c>
      <c r="J44" s="2">
        <v>8</v>
      </c>
      <c r="K44" s="2">
        <v>4</v>
      </c>
      <c r="L44" s="2">
        <v>47532</v>
      </c>
      <c r="M44" s="2">
        <v>61677</v>
      </c>
      <c r="N44" s="5">
        <v>320</v>
      </c>
      <c r="O44" s="4">
        <f t="shared" si="0"/>
        <v>-36.688156001918053</v>
      </c>
      <c r="P44" s="5">
        <f t="shared" si="1"/>
        <v>-5.6277056277056277</v>
      </c>
      <c r="S44" s="83"/>
      <c r="T44" s="88"/>
      <c r="U44" s="23">
        <v>8</v>
      </c>
      <c r="V44" s="2">
        <v>8</v>
      </c>
      <c r="W44" s="2">
        <v>8</v>
      </c>
      <c r="X44" s="2">
        <v>8</v>
      </c>
      <c r="Y44" s="2">
        <v>4</v>
      </c>
      <c r="Z44" s="2">
        <v>47532</v>
      </c>
      <c r="AA44" s="2">
        <v>61677</v>
      </c>
      <c r="AB44" s="5">
        <v>320</v>
      </c>
      <c r="AC44" s="4">
        <f t="shared" si="2"/>
        <v>-36.688156001918053</v>
      </c>
      <c r="AD44" s="5">
        <f t="shared" si="3"/>
        <v>-5.6277056277056277</v>
      </c>
    </row>
    <row r="45" spans="5:31" ht="18.600000000000001" thickBot="1" x14ac:dyDescent="0.35">
      <c r="E45" s="85"/>
      <c r="F45" s="89"/>
      <c r="G45" s="25">
        <v>12</v>
      </c>
      <c r="H45" s="7">
        <v>12</v>
      </c>
      <c r="I45" s="7">
        <v>12</v>
      </c>
      <c r="J45" s="7">
        <v>8</v>
      </c>
      <c r="K45" s="7">
        <v>4</v>
      </c>
      <c r="L45" s="7">
        <v>124125</v>
      </c>
      <c r="M45" s="7">
        <v>150414</v>
      </c>
      <c r="N45" s="8">
        <v>290</v>
      </c>
      <c r="O45" s="6">
        <f t="shared" si="0"/>
        <v>-48.854716491340838</v>
      </c>
      <c r="P45" s="8">
        <f t="shared" si="1"/>
        <v>-61.256930870796602</v>
      </c>
      <c r="S45" s="85"/>
      <c r="T45" s="89"/>
      <c r="U45" s="25">
        <v>12</v>
      </c>
      <c r="V45" s="7">
        <v>12</v>
      </c>
      <c r="W45" s="7">
        <v>12</v>
      </c>
      <c r="X45" s="7">
        <v>8</v>
      </c>
      <c r="Y45" s="7">
        <v>4</v>
      </c>
      <c r="Z45" s="7">
        <v>124125</v>
      </c>
      <c r="AA45" s="7">
        <v>150414</v>
      </c>
      <c r="AB45" s="8">
        <v>290</v>
      </c>
      <c r="AC45" s="6">
        <f t="shared" si="2"/>
        <v>-48.854716491340838</v>
      </c>
      <c r="AD45" s="8">
        <f t="shared" si="3"/>
        <v>-61.256930870796602</v>
      </c>
    </row>
    <row r="47" spans="5:31" ht="18.600000000000001" thickBot="1" x14ac:dyDescent="0.35"/>
    <row r="48" spans="5:31" ht="18" customHeight="1" x14ac:dyDescent="0.3">
      <c r="E48" s="90" t="s">
        <v>49</v>
      </c>
      <c r="F48" s="91"/>
      <c r="G48" s="91"/>
      <c r="H48" s="91"/>
      <c r="I48" s="91"/>
      <c r="J48" s="91"/>
      <c r="K48" s="92"/>
      <c r="L48"/>
      <c r="M48"/>
      <c r="N48" s="90" t="s">
        <v>51</v>
      </c>
      <c r="O48" s="91"/>
      <c r="P48" s="91"/>
      <c r="Q48" s="91"/>
      <c r="R48" s="91"/>
      <c r="S48" s="91"/>
      <c r="T48" s="92"/>
      <c r="W48" s="99" t="s">
        <v>57</v>
      </c>
      <c r="X48" s="100"/>
      <c r="Y48" s="100"/>
      <c r="Z48" s="100"/>
      <c r="AA48" s="100"/>
      <c r="AB48" s="100"/>
      <c r="AC48" s="100"/>
      <c r="AD48" s="100"/>
      <c r="AE48" s="101"/>
    </row>
    <row r="49" spans="5:41" ht="18" customHeight="1" x14ac:dyDescent="0.3">
      <c r="E49" s="93"/>
      <c r="F49" s="94"/>
      <c r="G49" s="94"/>
      <c r="H49" s="94"/>
      <c r="I49" s="94"/>
      <c r="J49" s="94"/>
      <c r="K49" s="95"/>
      <c r="L49"/>
      <c r="M49"/>
      <c r="N49" s="93"/>
      <c r="O49" s="94"/>
      <c r="P49" s="94"/>
      <c r="Q49" s="94"/>
      <c r="R49" s="94"/>
      <c r="S49" s="94"/>
      <c r="T49" s="95"/>
      <c r="W49" s="102"/>
      <c r="X49" s="103"/>
      <c r="Y49" s="103"/>
      <c r="Z49" s="103"/>
      <c r="AA49" s="103"/>
      <c r="AB49" s="103"/>
      <c r="AC49" s="103"/>
      <c r="AD49" s="103"/>
      <c r="AE49" s="104"/>
    </row>
    <row r="50" spans="5:41" ht="18.600000000000001" customHeight="1" thickBot="1" x14ac:dyDescent="0.35">
      <c r="E50" s="110"/>
      <c r="F50" s="111"/>
      <c r="G50" s="111"/>
      <c r="H50" s="111"/>
      <c r="I50" s="111"/>
      <c r="J50" s="111"/>
      <c r="K50" s="112"/>
      <c r="L50"/>
      <c r="M50"/>
      <c r="N50" s="110"/>
      <c r="O50" s="111"/>
      <c r="P50" s="111"/>
      <c r="Q50" s="111"/>
      <c r="R50" s="111"/>
      <c r="S50" s="111"/>
      <c r="T50" s="112"/>
      <c r="W50" s="105"/>
      <c r="X50" s="106"/>
      <c r="Y50" s="106"/>
      <c r="Z50" s="106"/>
      <c r="AA50" s="106"/>
      <c r="AB50" s="106"/>
      <c r="AC50" s="106"/>
      <c r="AD50" s="106"/>
      <c r="AE50" s="107"/>
    </row>
    <row r="51" spans="5:41" ht="20.399999999999999" customHeight="1" thickBot="1" x14ac:dyDescent="0.35">
      <c r="E51" s="81" t="s">
        <v>34</v>
      </c>
      <c r="F51" s="87"/>
      <c r="G51" s="32" t="s">
        <v>33</v>
      </c>
      <c r="H51" s="33" t="s">
        <v>42</v>
      </c>
      <c r="I51" s="33" t="s">
        <v>0</v>
      </c>
      <c r="J51" s="33" t="s">
        <v>1</v>
      </c>
      <c r="K51" s="34" t="s">
        <v>2</v>
      </c>
      <c r="N51" s="81" t="s">
        <v>52</v>
      </c>
      <c r="O51" s="87"/>
      <c r="P51" s="32" t="s">
        <v>33</v>
      </c>
      <c r="Q51" s="33" t="s">
        <v>42</v>
      </c>
      <c r="R51" s="33" t="s">
        <v>0</v>
      </c>
      <c r="S51" s="33" t="s">
        <v>1</v>
      </c>
      <c r="T51" s="34" t="s">
        <v>2</v>
      </c>
      <c r="W51" s="81" t="s">
        <v>52</v>
      </c>
      <c r="X51" s="87"/>
      <c r="Y51" s="32" t="s">
        <v>54</v>
      </c>
      <c r="Z51" s="33" t="s">
        <v>42</v>
      </c>
      <c r="AA51" s="33" t="s">
        <v>55</v>
      </c>
      <c r="AB51" s="33" t="s">
        <v>56</v>
      </c>
      <c r="AC51" s="33" t="s">
        <v>0</v>
      </c>
      <c r="AD51" s="33" t="s">
        <v>1</v>
      </c>
      <c r="AE51" s="34" t="s">
        <v>2</v>
      </c>
    </row>
    <row r="52" spans="5:41" x14ac:dyDescent="0.3">
      <c r="E52" s="83"/>
      <c r="F52" s="88"/>
      <c r="G52" s="35">
        <v>2</v>
      </c>
      <c r="H52" s="27">
        <v>4</v>
      </c>
      <c r="I52" s="27">
        <v>1616</v>
      </c>
      <c r="J52" s="27">
        <v>2121</v>
      </c>
      <c r="K52" s="28">
        <v>512</v>
      </c>
      <c r="N52" s="83"/>
      <c r="O52" s="88"/>
      <c r="P52" s="35">
        <v>2</v>
      </c>
      <c r="Q52" s="27">
        <v>4</v>
      </c>
      <c r="R52" s="27">
        <v>124</v>
      </c>
      <c r="S52" s="27">
        <v>113</v>
      </c>
      <c r="T52" s="28">
        <v>578</v>
      </c>
      <c r="W52" s="83"/>
      <c r="X52" s="88"/>
      <c r="Y52" s="35">
        <v>6</v>
      </c>
      <c r="Z52" s="27">
        <v>4</v>
      </c>
      <c r="AA52" s="27">
        <v>2</v>
      </c>
      <c r="AB52" s="27">
        <v>4</v>
      </c>
      <c r="AC52" s="27">
        <v>264</v>
      </c>
      <c r="AD52" s="27">
        <v>317</v>
      </c>
      <c r="AE52" s="28">
        <v>672</v>
      </c>
    </row>
    <row r="53" spans="5:41" x14ac:dyDescent="0.3">
      <c r="E53" s="83"/>
      <c r="F53" s="88"/>
      <c r="G53" s="4">
        <v>2</v>
      </c>
      <c r="H53" s="2">
        <v>8</v>
      </c>
      <c r="I53" s="2">
        <v>3441</v>
      </c>
      <c r="J53" s="2">
        <v>4449</v>
      </c>
      <c r="K53" s="5">
        <v>489</v>
      </c>
      <c r="N53" s="83"/>
      <c r="O53" s="88"/>
      <c r="P53" s="4">
        <v>2</v>
      </c>
      <c r="Q53" s="2">
        <v>8</v>
      </c>
      <c r="R53" s="2">
        <v>257</v>
      </c>
      <c r="S53" s="2">
        <v>226</v>
      </c>
      <c r="T53" s="5">
        <v>587</v>
      </c>
      <c r="W53" s="83"/>
      <c r="X53" s="88"/>
      <c r="Y53" s="4">
        <v>6</v>
      </c>
      <c r="Z53" s="2">
        <v>8</v>
      </c>
      <c r="AA53" s="2">
        <v>2</v>
      </c>
      <c r="AB53" s="2">
        <v>4</v>
      </c>
      <c r="AC53" s="2">
        <v>497</v>
      </c>
      <c r="AD53" s="2">
        <v>562</v>
      </c>
      <c r="AE53" s="5">
        <v>669</v>
      </c>
    </row>
    <row r="54" spans="5:41" x14ac:dyDescent="0.3">
      <c r="E54" s="83"/>
      <c r="F54" s="88"/>
      <c r="G54" s="29">
        <v>4</v>
      </c>
      <c r="H54" s="2">
        <v>4</v>
      </c>
      <c r="I54" s="2">
        <v>3767</v>
      </c>
      <c r="J54" s="2">
        <v>4161</v>
      </c>
      <c r="K54" s="5">
        <v>303</v>
      </c>
      <c r="N54" s="83"/>
      <c r="O54" s="88"/>
      <c r="P54" s="29">
        <v>4</v>
      </c>
      <c r="Q54" s="2">
        <v>4</v>
      </c>
      <c r="R54" s="2">
        <v>663</v>
      </c>
      <c r="S54" s="2">
        <v>453</v>
      </c>
      <c r="T54" s="5">
        <v>327</v>
      </c>
      <c r="W54" s="83"/>
      <c r="X54" s="88"/>
      <c r="Y54" s="29">
        <v>8</v>
      </c>
      <c r="Z54" s="2">
        <v>4</v>
      </c>
      <c r="AA54" s="2">
        <v>2</v>
      </c>
      <c r="AB54" s="2">
        <v>4</v>
      </c>
      <c r="AC54" s="2">
        <v>348</v>
      </c>
      <c r="AD54" s="2">
        <v>404</v>
      </c>
      <c r="AE54" s="5">
        <v>651</v>
      </c>
    </row>
    <row r="55" spans="5:41" x14ac:dyDescent="0.3">
      <c r="E55" s="83"/>
      <c r="F55" s="88"/>
      <c r="G55" s="29">
        <v>4</v>
      </c>
      <c r="H55" s="2">
        <v>8</v>
      </c>
      <c r="I55" s="2">
        <v>8139</v>
      </c>
      <c r="J55" s="2">
        <v>8917</v>
      </c>
      <c r="K55" s="5">
        <v>300</v>
      </c>
      <c r="N55" s="83"/>
      <c r="O55" s="88"/>
      <c r="P55" s="29">
        <v>4</v>
      </c>
      <c r="Q55" s="2">
        <v>8</v>
      </c>
      <c r="R55" s="2">
        <v>1365</v>
      </c>
      <c r="S55" s="2">
        <v>900</v>
      </c>
      <c r="T55" s="5">
        <v>314</v>
      </c>
      <c r="W55" s="83"/>
      <c r="X55" s="88"/>
      <c r="Y55" s="29">
        <v>8</v>
      </c>
      <c r="Z55" s="2">
        <v>8</v>
      </c>
      <c r="AA55" s="2">
        <v>2</v>
      </c>
      <c r="AB55" s="2">
        <v>4</v>
      </c>
      <c r="AC55" s="2">
        <v>651</v>
      </c>
      <c r="AD55" s="2">
        <v>713</v>
      </c>
      <c r="AE55" s="5">
        <v>628</v>
      </c>
    </row>
    <row r="56" spans="5:41" ht="18.600000000000001" thickBot="1" x14ac:dyDescent="0.35">
      <c r="E56" s="83"/>
      <c r="F56" s="88"/>
      <c r="G56" s="29">
        <v>8</v>
      </c>
      <c r="H56" s="2">
        <v>4</v>
      </c>
      <c r="I56" s="2">
        <v>9244</v>
      </c>
      <c r="J56" s="2">
        <v>9133</v>
      </c>
      <c r="K56" s="5">
        <v>329</v>
      </c>
      <c r="N56" s="83"/>
      <c r="O56" s="88"/>
      <c r="P56" s="29">
        <v>8</v>
      </c>
      <c r="Q56" s="2">
        <v>4</v>
      </c>
      <c r="R56" s="2">
        <v>3092</v>
      </c>
      <c r="S56" s="2">
        <v>2690</v>
      </c>
      <c r="T56" s="5">
        <v>543</v>
      </c>
      <c r="W56" s="85"/>
      <c r="X56" s="89"/>
      <c r="Y56" s="30">
        <v>8</v>
      </c>
      <c r="Z56" s="7">
        <v>8</v>
      </c>
      <c r="AA56" s="7">
        <v>4</v>
      </c>
      <c r="AB56" s="7">
        <v>8</v>
      </c>
      <c r="AC56" s="7">
        <v>3225</v>
      </c>
      <c r="AD56" s="7">
        <v>3064</v>
      </c>
      <c r="AE56" s="8">
        <v>313</v>
      </c>
    </row>
    <row r="57" spans="5:41" ht="18.600000000000001" thickBot="1" x14ac:dyDescent="0.35">
      <c r="E57" s="85"/>
      <c r="F57" s="89"/>
      <c r="G57" s="30">
        <v>8</v>
      </c>
      <c r="H57" s="7">
        <v>8</v>
      </c>
      <c r="I57" s="7">
        <v>20588</v>
      </c>
      <c r="J57" s="7">
        <v>19846</v>
      </c>
      <c r="K57" s="8">
        <v>329</v>
      </c>
      <c r="N57" s="85"/>
      <c r="O57" s="89"/>
      <c r="P57" s="30">
        <v>8</v>
      </c>
      <c r="Q57" s="7">
        <v>8</v>
      </c>
      <c r="R57" s="7">
        <v>6239</v>
      </c>
      <c r="S57" s="7">
        <v>5378</v>
      </c>
      <c r="T57" s="8">
        <v>398</v>
      </c>
      <c r="W57"/>
      <c r="X57"/>
      <c r="Y57"/>
      <c r="Z57"/>
      <c r="AA57"/>
      <c r="AB57"/>
      <c r="AC57"/>
      <c r="AD57"/>
      <c r="AE57"/>
    </row>
    <row r="58" spans="5:41" ht="21" customHeight="1" thickBot="1" x14ac:dyDescent="0.35">
      <c r="E58" s="81" t="s">
        <v>50</v>
      </c>
      <c r="F58" s="87"/>
      <c r="G58" s="32" t="s">
        <v>33</v>
      </c>
      <c r="H58" s="33" t="s">
        <v>42</v>
      </c>
      <c r="I58" s="33" t="s">
        <v>0</v>
      </c>
      <c r="J58" s="33" t="s">
        <v>1</v>
      </c>
      <c r="K58" s="34" t="s">
        <v>2</v>
      </c>
      <c r="N58" s="81" t="s">
        <v>53</v>
      </c>
      <c r="O58" s="87"/>
      <c r="P58" s="32" t="s">
        <v>33</v>
      </c>
      <c r="Q58" s="33" t="s">
        <v>42</v>
      </c>
      <c r="R58" s="33" t="s">
        <v>0</v>
      </c>
      <c r="S58" s="33" t="s">
        <v>1</v>
      </c>
      <c r="T58" s="34" t="s">
        <v>2</v>
      </c>
    </row>
    <row r="59" spans="5:41" ht="18.600000000000001" thickBot="1" x14ac:dyDescent="0.35">
      <c r="E59" s="83"/>
      <c r="F59" s="88"/>
      <c r="G59" s="21">
        <v>2</v>
      </c>
      <c r="H59" s="20">
        <v>4</v>
      </c>
      <c r="I59" s="20">
        <v>2251</v>
      </c>
      <c r="J59" s="20">
        <v>3242</v>
      </c>
      <c r="K59" s="22">
        <v>492</v>
      </c>
      <c r="N59" s="83"/>
      <c r="O59" s="88"/>
      <c r="P59" s="35">
        <v>2</v>
      </c>
      <c r="Q59" s="27">
        <v>4</v>
      </c>
      <c r="R59" s="27">
        <v>154</v>
      </c>
      <c r="S59" s="27">
        <v>146</v>
      </c>
      <c r="T59" s="28">
        <v>629</v>
      </c>
    </row>
    <row r="60" spans="5:41" ht="18" customHeight="1" x14ac:dyDescent="0.3">
      <c r="E60" s="83"/>
      <c r="F60" s="88"/>
      <c r="G60" s="4">
        <v>2</v>
      </c>
      <c r="H60" s="2">
        <v>8</v>
      </c>
      <c r="I60" s="2">
        <v>4844</v>
      </c>
      <c r="J60" s="2">
        <v>6858</v>
      </c>
      <c r="K60" s="5">
        <v>489</v>
      </c>
      <c r="N60" s="83"/>
      <c r="O60" s="88"/>
      <c r="P60" s="4">
        <v>2</v>
      </c>
      <c r="Q60" s="2">
        <v>8</v>
      </c>
      <c r="R60" s="2">
        <v>313</v>
      </c>
      <c r="S60" s="2">
        <v>289</v>
      </c>
      <c r="T60" s="5">
        <v>605</v>
      </c>
      <c r="W60" s="99" t="s">
        <v>58</v>
      </c>
      <c r="X60" s="100"/>
      <c r="Y60" s="100"/>
      <c r="Z60" s="100"/>
      <c r="AA60" s="100"/>
      <c r="AB60" s="100"/>
      <c r="AC60" s="101"/>
      <c r="AD60"/>
      <c r="AE60"/>
      <c r="AG60" s="99" t="s">
        <v>63</v>
      </c>
      <c r="AH60" s="100"/>
      <c r="AI60" s="100"/>
      <c r="AJ60" s="100"/>
      <c r="AK60" s="100"/>
      <c r="AL60" s="100"/>
      <c r="AM60" s="101"/>
      <c r="AN60"/>
      <c r="AO60"/>
    </row>
    <row r="61" spans="5:41" ht="21" customHeight="1" x14ac:dyDescent="0.3">
      <c r="E61" s="83"/>
      <c r="F61" s="88"/>
      <c r="G61" s="31">
        <v>4</v>
      </c>
      <c r="H61" s="27">
        <v>4</v>
      </c>
      <c r="I61" s="27">
        <v>5986</v>
      </c>
      <c r="J61" s="27">
        <v>6798</v>
      </c>
      <c r="K61" s="28">
        <v>307</v>
      </c>
      <c r="N61" s="83"/>
      <c r="O61" s="88"/>
      <c r="P61" s="29">
        <v>4</v>
      </c>
      <c r="Q61" s="2">
        <v>4</v>
      </c>
      <c r="R61" s="2">
        <v>797</v>
      </c>
      <c r="S61" s="2">
        <v>586</v>
      </c>
      <c r="T61" s="5">
        <v>322</v>
      </c>
      <c r="W61" s="102"/>
      <c r="X61" s="103"/>
      <c r="Y61" s="103"/>
      <c r="Z61" s="103"/>
      <c r="AA61" s="103"/>
      <c r="AB61" s="103"/>
      <c r="AC61" s="104"/>
      <c r="AD61"/>
      <c r="AE61"/>
      <c r="AG61" s="102"/>
      <c r="AH61" s="103"/>
      <c r="AI61" s="103"/>
      <c r="AJ61" s="103"/>
      <c r="AK61" s="103"/>
      <c r="AL61" s="103"/>
      <c r="AM61" s="104"/>
      <c r="AN61"/>
      <c r="AO61"/>
    </row>
    <row r="62" spans="5:41" ht="18.600000000000001" customHeight="1" thickBot="1" x14ac:dyDescent="0.35">
      <c r="E62" s="83"/>
      <c r="F62" s="88"/>
      <c r="G62" s="29">
        <v>4</v>
      </c>
      <c r="H62" s="2">
        <v>8</v>
      </c>
      <c r="I62" s="2">
        <v>12977</v>
      </c>
      <c r="J62" s="2">
        <v>14628</v>
      </c>
      <c r="K62" s="5">
        <v>298</v>
      </c>
      <c r="N62" s="83"/>
      <c r="O62" s="88"/>
      <c r="P62" s="29">
        <v>4</v>
      </c>
      <c r="Q62" s="2">
        <v>8</v>
      </c>
      <c r="R62" s="2">
        <v>1683</v>
      </c>
      <c r="S62" s="2">
        <v>1158</v>
      </c>
      <c r="T62" s="5">
        <v>318</v>
      </c>
      <c r="W62" s="105"/>
      <c r="X62" s="106"/>
      <c r="Y62" s="106"/>
      <c r="Z62" s="106"/>
      <c r="AA62" s="106"/>
      <c r="AB62" s="106"/>
      <c r="AC62" s="107"/>
      <c r="AD62"/>
      <c r="AE62"/>
      <c r="AG62" s="102"/>
      <c r="AH62" s="103"/>
      <c r="AI62" s="106"/>
      <c r="AJ62" s="106"/>
      <c r="AK62" s="106"/>
      <c r="AL62" s="106"/>
      <c r="AM62" s="107"/>
      <c r="AN62"/>
      <c r="AO62"/>
    </row>
    <row r="63" spans="5:41" ht="21" customHeight="1" thickBot="1" x14ac:dyDescent="0.35">
      <c r="E63" s="83"/>
      <c r="F63" s="88"/>
      <c r="G63" s="29">
        <v>8</v>
      </c>
      <c r="H63" s="2">
        <v>4</v>
      </c>
      <c r="I63" s="2">
        <v>14749</v>
      </c>
      <c r="J63" s="2">
        <v>14033</v>
      </c>
      <c r="K63" s="5">
        <v>357</v>
      </c>
      <c r="N63" s="83"/>
      <c r="O63" s="88"/>
      <c r="P63" s="29">
        <v>8</v>
      </c>
      <c r="Q63" s="2">
        <v>4</v>
      </c>
      <c r="R63" s="2">
        <v>3845</v>
      </c>
      <c r="S63" s="2">
        <v>3460</v>
      </c>
      <c r="T63" s="5">
        <v>510</v>
      </c>
      <c r="W63" s="81" t="s">
        <v>61</v>
      </c>
      <c r="X63" s="82"/>
      <c r="Y63" s="32" t="s">
        <v>33</v>
      </c>
      <c r="Z63" s="33" t="s">
        <v>0</v>
      </c>
      <c r="AA63" s="33" t="s">
        <v>1</v>
      </c>
      <c r="AB63" s="38" t="s">
        <v>60</v>
      </c>
      <c r="AC63" s="34" t="s">
        <v>59</v>
      </c>
      <c r="AG63" s="143" t="s">
        <v>64</v>
      </c>
      <c r="AH63" s="144"/>
      <c r="AI63" s="66" t="s">
        <v>33</v>
      </c>
      <c r="AJ63" s="33" t="s">
        <v>0</v>
      </c>
      <c r="AK63" s="33" t="s">
        <v>1</v>
      </c>
      <c r="AL63" s="38" t="s">
        <v>60</v>
      </c>
      <c r="AM63" s="34" t="s">
        <v>59</v>
      </c>
    </row>
    <row r="64" spans="5:41" ht="18.600000000000001" thickBot="1" x14ac:dyDescent="0.35">
      <c r="E64" s="85"/>
      <c r="F64" s="89"/>
      <c r="G64" s="30">
        <v>8</v>
      </c>
      <c r="H64" s="7">
        <v>8</v>
      </c>
      <c r="I64" s="7">
        <v>32081</v>
      </c>
      <c r="J64" s="7">
        <v>30525</v>
      </c>
      <c r="K64" s="8">
        <v>341</v>
      </c>
      <c r="N64" s="85"/>
      <c r="O64" s="89"/>
      <c r="P64" s="30">
        <v>8</v>
      </c>
      <c r="Q64" s="7">
        <v>8</v>
      </c>
      <c r="R64" s="7">
        <v>7781</v>
      </c>
      <c r="S64" s="7">
        <v>6925</v>
      </c>
      <c r="T64" s="8">
        <v>409</v>
      </c>
      <c r="W64" s="83"/>
      <c r="X64" s="84"/>
      <c r="Y64" s="21">
        <v>2</v>
      </c>
      <c r="Z64" s="20">
        <v>18809</v>
      </c>
      <c r="AA64" s="20">
        <v>17887</v>
      </c>
      <c r="AB64" s="37">
        <v>417</v>
      </c>
      <c r="AC64" s="22">
        <v>25</v>
      </c>
      <c r="AG64" s="145"/>
      <c r="AH64" s="134"/>
      <c r="AI64" s="21">
        <v>2</v>
      </c>
      <c r="AJ64" s="20">
        <v>62764</v>
      </c>
      <c r="AK64" s="20">
        <v>59682</v>
      </c>
      <c r="AL64" s="37">
        <v>331</v>
      </c>
      <c r="AM64" s="22">
        <v>34</v>
      </c>
    </row>
    <row r="65" spans="23:49" x14ac:dyDescent="0.3">
      <c r="W65" s="83"/>
      <c r="X65" s="84"/>
      <c r="Y65" s="4">
        <v>3</v>
      </c>
      <c r="Z65" s="2">
        <v>23475</v>
      </c>
      <c r="AA65" s="2">
        <v>34593</v>
      </c>
      <c r="AB65" s="2">
        <v>316</v>
      </c>
      <c r="AC65" s="5">
        <v>31</v>
      </c>
      <c r="AG65" s="145"/>
      <c r="AH65" s="134"/>
      <c r="AI65" s="4">
        <v>3</v>
      </c>
      <c r="AJ65" s="64">
        <v>76297</v>
      </c>
      <c r="AK65" s="64">
        <v>82110</v>
      </c>
      <c r="AL65" s="64">
        <v>303</v>
      </c>
      <c r="AM65" s="5">
        <v>40</v>
      </c>
    </row>
    <row r="66" spans="23:49" x14ac:dyDescent="0.3">
      <c r="W66" s="83"/>
      <c r="X66" s="84"/>
      <c r="Y66" s="4">
        <v>4</v>
      </c>
      <c r="Z66" s="2">
        <v>30121</v>
      </c>
      <c r="AA66" s="2">
        <v>40791</v>
      </c>
      <c r="AB66" s="36">
        <v>315</v>
      </c>
      <c r="AC66" s="5">
        <v>31</v>
      </c>
      <c r="AE66" s="46"/>
      <c r="AG66" s="145"/>
      <c r="AH66" s="134"/>
      <c r="AI66" s="4">
        <v>4</v>
      </c>
      <c r="AJ66" s="64">
        <v>102637</v>
      </c>
      <c r="AK66" s="64">
        <v>103139</v>
      </c>
      <c r="AL66" s="65">
        <v>298</v>
      </c>
      <c r="AM66" s="5">
        <v>40</v>
      </c>
      <c r="AO66" s="46"/>
    </row>
    <row r="67" spans="23:49" x14ac:dyDescent="0.3">
      <c r="W67" s="83"/>
      <c r="X67" s="84"/>
      <c r="Y67" s="29">
        <v>5</v>
      </c>
      <c r="Z67" s="2">
        <v>28924</v>
      </c>
      <c r="AA67" s="2">
        <v>41929</v>
      </c>
      <c r="AB67" s="36">
        <v>333</v>
      </c>
      <c r="AC67" s="5">
        <v>40</v>
      </c>
      <c r="AG67" s="145"/>
      <c r="AH67" s="134"/>
      <c r="AI67" s="29">
        <v>5</v>
      </c>
      <c r="AJ67" s="64">
        <v>157548</v>
      </c>
      <c r="AK67" s="64">
        <v>168731</v>
      </c>
      <c r="AL67" s="65">
        <v>310</v>
      </c>
      <c r="AM67" s="5">
        <f>78-26</f>
        <v>52</v>
      </c>
      <c r="AQ67"/>
      <c r="AR67"/>
      <c r="AS67" s="39">
        <v>8</v>
      </c>
      <c r="AT67" s="62">
        <v>241577</v>
      </c>
      <c r="AU67" s="62">
        <v>233152</v>
      </c>
      <c r="AV67" s="63">
        <v>301</v>
      </c>
      <c r="AW67" s="42">
        <v>69</v>
      </c>
    </row>
    <row r="68" spans="23:49" ht="18.600000000000001" customHeight="1" thickBot="1" x14ac:dyDescent="0.35">
      <c r="W68" s="83"/>
      <c r="X68" s="84"/>
      <c r="Y68" s="39">
        <v>8</v>
      </c>
      <c r="Z68" s="40">
        <v>34898</v>
      </c>
      <c r="AA68" s="40">
        <v>50339</v>
      </c>
      <c r="AB68" s="41">
        <v>329</v>
      </c>
      <c r="AC68" s="42">
        <v>44</v>
      </c>
      <c r="AG68" s="146"/>
      <c r="AH68" s="147"/>
      <c r="AI68" s="6">
        <v>8</v>
      </c>
      <c r="AJ68" s="7">
        <v>186808</v>
      </c>
      <c r="AK68" s="7">
        <v>204566</v>
      </c>
      <c r="AL68" s="7">
        <v>308</v>
      </c>
      <c r="AM68" s="8">
        <v>57</v>
      </c>
    </row>
    <row r="69" spans="23:49" ht="21" customHeight="1" thickBot="1" x14ac:dyDescent="0.35">
      <c r="W69" s="85"/>
      <c r="X69" s="86"/>
      <c r="Y69" s="30">
        <v>16</v>
      </c>
      <c r="Z69" s="7">
        <v>56858</v>
      </c>
      <c r="AA69" s="7">
        <v>74664</v>
      </c>
      <c r="AB69" s="7">
        <v>319</v>
      </c>
      <c r="AC69" s="8">
        <v>44</v>
      </c>
      <c r="AG69" s="83" t="s">
        <v>67</v>
      </c>
      <c r="AH69" s="88"/>
      <c r="AI69" s="71" t="s">
        <v>33</v>
      </c>
      <c r="AJ69" s="44" t="s">
        <v>0</v>
      </c>
      <c r="AK69" s="44" t="s">
        <v>1</v>
      </c>
      <c r="AL69" s="45" t="s">
        <v>2</v>
      </c>
      <c r="AM69" s="45" t="s">
        <v>59</v>
      </c>
      <c r="AN69" s="57" t="s">
        <v>45</v>
      </c>
      <c r="AO69" s="34" t="s">
        <v>46</v>
      </c>
    </row>
    <row r="70" spans="23:49" ht="21" customHeight="1" thickBot="1" x14ac:dyDescent="0.35">
      <c r="W70" s="81" t="s">
        <v>62</v>
      </c>
      <c r="X70" s="87"/>
      <c r="Y70" s="32" t="s">
        <v>33</v>
      </c>
      <c r="Z70" s="33" t="s">
        <v>0</v>
      </c>
      <c r="AA70" s="33" t="s">
        <v>1</v>
      </c>
      <c r="AB70" s="38" t="s">
        <v>2</v>
      </c>
      <c r="AC70" s="38" t="s">
        <v>59</v>
      </c>
      <c r="AD70" s="57" t="s">
        <v>45</v>
      </c>
      <c r="AE70" s="34" t="s">
        <v>46</v>
      </c>
      <c r="AG70" s="83"/>
      <c r="AH70" s="84"/>
      <c r="AI70" s="70">
        <v>2</v>
      </c>
      <c r="AJ70" s="67">
        <v>15702</v>
      </c>
      <c r="AK70" s="67">
        <v>21154</v>
      </c>
      <c r="AL70" s="68">
        <v>437</v>
      </c>
      <c r="AM70" s="69">
        <f>AM64+26</f>
        <v>60</v>
      </c>
      <c r="AN70" s="59">
        <f t="shared" ref="AN70:AO74" si="4">(AJ70-AJ64)/AJ64*100</f>
        <v>-74.982474029698551</v>
      </c>
      <c r="AO70" s="56">
        <f t="shared" si="4"/>
        <v>-64.555477363359131</v>
      </c>
    </row>
    <row r="71" spans="23:49" x14ac:dyDescent="0.3">
      <c r="W71" s="83"/>
      <c r="X71" s="88"/>
      <c r="Y71" s="35">
        <v>2</v>
      </c>
      <c r="Z71" s="27">
        <v>11686</v>
      </c>
      <c r="AA71" s="27">
        <v>15405</v>
      </c>
      <c r="AB71" s="51">
        <v>416</v>
      </c>
      <c r="AC71" s="51">
        <f>AC64+4</f>
        <v>29</v>
      </c>
      <c r="AD71" s="59">
        <f t="shared" ref="AD71:AE76" si="5">(Z71-Z64)/Z64*100</f>
        <v>-37.870168536338987</v>
      </c>
      <c r="AE71" s="56">
        <f t="shared" si="5"/>
        <v>-13.875999329121708</v>
      </c>
      <c r="AG71" s="83"/>
      <c r="AH71" s="84"/>
      <c r="AI71" s="4">
        <v>3</v>
      </c>
      <c r="AJ71" s="64">
        <v>18507</v>
      </c>
      <c r="AK71" s="64">
        <v>27108</v>
      </c>
      <c r="AL71" s="64">
        <v>311</v>
      </c>
      <c r="AM71" s="5">
        <f t="shared" ref="AM71:AM74" si="6">AM65+26</f>
        <v>66</v>
      </c>
      <c r="AN71" s="47">
        <f t="shared" si="4"/>
        <v>-75.743476152404426</v>
      </c>
      <c r="AO71" s="48">
        <f t="shared" si="4"/>
        <v>-66.985750822067956</v>
      </c>
    </row>
    <row r="72" spans="23:49" x14ac:dyDescent="0.3">
      <c r="W72" s="83"/>
      <c r="X72" s="88"/>
      <c r="Y72" s="4">
        <v>3</v>
      </c>
      <c r="Z72" s="2">
        <v>16231</v>
      </c>
      <c r="AA72" s="2">
        <v>23365</v>
      </c>
      <c r="AB72" s="2">
        <v>319</v>
      </c>
      <c r="AC72" s="36">
        <f t="shared" ref="AC72:AC76" si="7">AC65+4</f>
        <v>35</v>
      </c>
      <c r="AD72" s="47">
        <f t="shared" si="5"/>
        <v>-30.858359957401493</v>
      </c>
      <c r="AE72" s="48">
        <f t="shared" si="5"/>
        <v>-32.457433584829296</v>
      </c>
      <c r="AG72" s="83"/>
      <c r="AH72" s="84"/>
      <c r="AI72" s="4">
        <v>4</v>
      </c>
      <c r="AJ72" s="64">
        <v>23088</v>
      </c>
      <c r="AK72" s="64">
        <v>33154</v>
      </c>
      <c r="AL72" s="64">
        <v>305</v>
      </c>
      <c r="AM72" s="5">
        <f t="shared" si="6"/>
        <v>66</v>
      </c>
      <c r="AN72" s="47">
        <f t="shared" si="4"/>
        <v>-77.505188187495733</v>
      </c>
      <c r="AO72" s="48">
        <f t="shared" si="4"/>
        <v>-67.855030589786608</v>
      </c>
    </row>
    <row r="73" spans="23:49" x14ac:dyDescent="0.3">
      <c r="W73" s="83"/>
      <c r="X73" s="88"/>
      <c r="Y73" s="4">
        <v>4</v>
      </c>
      <c r="Z73" s="2">
        <v>22621</v>
      </c>
      <c r="AA73" s="2">
        <v>30443</v>
      </c>
      <c r="AB73" s="36">
        <v>308</v>
      </c>
      <c r="AC73" s="36">
        <f t="shared" si="7"/>
        <v>35</v>
      </c>
      <c r="AD73" s="47">
        <f t="shared" si="5"/>
        <v>-24.89957172736629</v>
      </c>
      <c r="AE73" s="48">
        <f t="shared" si="5"/>
        <v>-25.368341055625017</v>
      </c>
      <c r="AG73" s="83"/>
      <c r="AH73" s="84"/>
      <c r="AI73" s="29">
        <v>5</v>
      </c>
      <c r="AJ73" s="2">
        <v>30171</v>
      </c>
      <c r="AK73" s="2">
        <v>41800</v>
      </c>
      <c r="AL73" s="2">
        <v>297</v>
      </c>
      <c r="AM73" s="5">
        <f t="shared" si="6"/>
        <v>78</v>
      </c>
      <c r="AN73" s="47">
        <f t="shared" si="4"/>
        <v>-80.849645822225597</v>
      </c>
      <c r="AO73" s="48">
        <f t="shared" si="4"/>
        <v>-75.226840355358533</v>
      </c>
    </row>
    <row r="74" spans="23:49" ht="18.600000000000001" thickBot="1" x14ac:dyDescent="0.35">
      <c r="W74" s="83"/>
      <c r="X74" s="88"/>
      <c r="Y74" s="29">
        <v>5</v>
      </c>
      <c r="Z74" s="2">
        <v>21721</v>
      </c>
      <c r="AA74" s="2">
        <v>30841</v>
      </c>
      <c r="AB74" s="36">
        <v>394</v>
      </c>
      <c r="AC74" s="36">
        <f t="shared" si="7"/>
        <v>44</v>
      </c>
      <c r="AD74" s="47">
        <f t="shared" si="5"/>
        <v>-24.903194578896418</v>
      </c>
      <c r="AE74" s="48">
        <f t="shared" si="5"/>
        <v>-26.444704142717452</v>
      </c>
      <c r="AG74" s="85"/>
      <c r="AH74" s="86"/>
      <c r="AI74" s="6">
        <v>8</v>
      </c>
      <c r="AJ74" s="7">
        <v>36635</v>
      </c>
      <c r="AK74" s="7">
        <v>48979</v>
      </c>
      <c r="AL74" s="7">
        <v>309</v>
      </c>
      <c r="AM74" s="8">
        <f t="shared" si="6"/>
        <v>83</v>
      </c>
      <c r="AN74" s="60">
        <f t="shared" si="4"/>
        <v>-80.388955505117551</v>
      </c>
      <c r="AO74" s="55">
        <f t="shared" si="4"/>
        <v>-76.057116040788799</v>
      </c>
    </row>
    <row r="75" spans="23:49" x14ac:dyDescent="0.3">
      <c r="W75" s="83"/>
      <c r="X75" s="88"/>
      <c r="Y75" s="29">
        <v>8</v>
      </c>
      <c r="Z75" s="2">
        <v>29589</v>
      </c>
      <c r="AA75" s="2">
        <v>39360</v>
      </c>
      <c r="AB75" s="36">
        <v>373</v>
      </c>
      <c r="AC75" s="36">
        <f t="shared" si="7"/>
        <v>48</v>
      </c>
      <c r="AD75" s="47">
        <f t="shared" si="5"/>
        <v>-15.212906183735459</v>
      </c>
      <c r="AE75" s="48">
        <f t="shared" si="5"/>
        <v>-21.810127336657462</v>
      </c>
      <c r="AG75" s="99" t="s">
        <v>68</v>
      </c>
      <c r="AH75" s="100"/>
      <c r="AI75" s="103"/>
      <c r="AJ75" s="103"/>
      <c r="AK75" s="103"/>
      <c r="AL75" s="103"/>
      <c r="AM75" s="104"/>
    </row>
    <row r="76" spans="23:49" ht="18.600000000000001" thickBot="1" x14ac:dyDescent="0.35">
      <c r="W76" s="85"/>
      <c r="X76" s="89"/>
      <c r="Y76" s="52">
        <v>16</v>
      </c>
      <c r="Z76" s="53">
        <v>51724</v>
      </c>
      <c r="AA76" s="53">
        <v>64443</v>
      </c>
      <c r="AB76" s="54">
        <v>358</v>
      </c>
      <c r="AC76" s="41">
        <f t="shared" si="7"/>
        <v>48</v>
      </c>
      <c r="AD76" s="49">
        <f t="shared" si="5"/>
        <v>-9.0295121179077711</v>
      </c>
      <c r="AE76" s="50">
        <f t="shared" si="5"/>
        <v>-13.68932819029251</v>
      </c>
      <c r="AG76" s="102"/>
      <c r="AH76" s="103"/>
      <c r="AI76" s="103"/>
      <c r="AJ76" s="103"/>
      <c r="AK76" s="103"/>
      <c r="AL76" s="103"/>
      <c r="AM76" s="104"/>
      <c r="AN76"/>
      <c r="AO76"/>
    </row>
    <row r="77" spans="23:49" ht="21" thickBot="1" x14ac:dyDescent="0.35">
      <c r="W77" s="81" t="s">
        <v>65</v>
      </c>
      <c r="X77" s="87"/>
      <c r="Y77" s="32" t="s">
        <v>33</v>
      </c>
      <c r="Z77" s="33" t="s">
        <v>0</v>
      </c>
      <c r="AA77" s="33" t="s">
        <v>1</v>
      </c>
      <c r="AB77" s="38" t="s">
        <v>2</v>
      </c>
      <c r="AC77" s="38" t="s">
        <v>59</v>
      </c>
      <c r="AD77" s="57" t="s">
        <v>45</v>
      </c>
      <c r="AE77" s="34" t="s">
        <v>46</v>
      </c>
      <c r="AG77" s="102"/>
      <c r="AH77" s="103"/>
      <c r="AI77" s="106"/>
      <c r="AJ77" s="106"/>
      <c r="AK77" s="106"/>
      <c r="AL77" s="106"/>
      <c r="AM77" s="107"/>
      <c r="AN77"/>
      <c r="AO77"/>
    </row>
    <row r="78" spans="23:49" ht="21" thickBot="1" x14ac:dyDescent="0.35">
      <c r="W78" s="83"/>
      <c r="X78" s="88"/>
      <c r="Y78" s="35">
        <v>2</v>
      </c>
      <c r="Z78" s="27">
        <v>5558</v>
      </c>
      <c r="AA78" s="27">
        <v>7893</v>
      </c>
      <c r="AB78" s="51">
        <v>493</v>
      </c>
      <c r="AC78" s="51">
        <f>AC64+17</f>
        <v>42</v>
      </c>
      <c r="AD78" s="59">
        <f>-(Z64-Z78)/Z64*100</f>
        <v>-70.45031633792334</v>
      </c>
      <c r="AE78" s="56">
        <f>(AA78-AA64)/AA64*100</f>
        <v>-55.872980376809977</v>
      </c>
      <c r="AG78" s="143" t="s">
        <v>61</v>
      </c>
      <c r="AH78" s="144"/>
      <c r="AI78" s="32" t="s">
        <v>33</v>
      </c>
      <c r="AJ78" s="33" t="s">
        <v>0</v>
      </c>
      <c r="AK78" s="33" t="s">
        <v>1</v>
      </c>
      <c r="AL78" s="38" t="s">
        <v>60</v>
      </c>
      <c r="AM78" s="34" t="s">
        <v>59</v>
      </c>
      <c r="AN78"/>
      <c r="AO78"/>
    </row>
    <row r="79" spans="23:49" x14ac:dyDescent="0.3">
      <c r="W79" s="83"/>
      <c r="X79" s="88"/>
      <c r="Y79" s="4">
        <v>3</v>
      </c>
      <c r="Z79" s="2">
        <v>6785</v>
      </c>
      <c r="AA79" s="2">
        <v>10703</v>
      </c>
      <c r="AB79" s="2">
        <v>321</v>
      </c>
      <c r="AC79" s="36">
        <f t="shared" ref="AC79:AC83" si="8">AC65+17</f>
        <v>48</v>
      </c>
      <c r="AD79" s="47">
        <f t="shared" ref="AD79:AD81" si="9">-(Z65-Z79)/Z65*100</f>
        <v>-71.09691160809372</v>
      </c>
      <c r="AE79" s="48">
        <f t="shared" ref="AE79:AE81" si="10">(AA79-AA65)/AA65*100</f>
        <v>-69.060214494261842</v>
      </c>
      <c r="AG79" s="145"/>
      <c r="AH79" s="134"/>
      <c r="AI79" s="21">
        <v>2</v>
      </c>
      <c r="AJ79" s="20">
        <v>141432</v>
      </c>
      <c r="AK79" s="20">
        <v>141913</v>
      </c>
      <c r="AL79" s="37">
        <v>306</v>
      </c>
      <c r="AM79" s="22">
        <v>80</v>
      </c>
    </row>
    <row r="80" spans="23:49" x14ac:dyDescent="0.3">
      <c r="W80" s="83"/>
      <c r="X80" s="88"/>
      <c r="Y80" s="4">
        <v>4</v>
      </c>
      <c r="Z80" s="2">
        <v>8570</v>
      </c>
      <c r="AA80" s="2">
        <v>13163</v>
      </c>
      <c r="AB80" s="36">
        <v>325</v>
      </c>
      <c r="AC80" s="36">
        <f t="shared" si="8"/>
        <v>48</v>
      </c>
      <c r="AD80" s="47">
        <f t="shared" si="9"/>
        <v>-71.54808937286279</v>
      </c>
      <c r="AE80" s="48">
        <f>(AA80-AA66)/AA66*100</f>
        <v>-67.730626853962889</v>
      </c>
      <c r="AG80" s="145"/>
      <c r="AH80" s="134"/>
      <c r="AI80" s="4">
        <v>3</v>
      </c>
      <c r="AJ80" s="2">
        <v>227005</v>
      </c>
      <c r="AK80" s="2">
        <v>245202</v>
      </c>
      <c r="AL80" s="36" t="s">
        <v>69</v>
      </c>
      <c r="AM80" s="5">
        <v>92</v>
      </c>
    </row>
    <row r="81" spans="23:41" ht="18.600000000000001" thickBot="1" x14ac:dyDescent="0.35">
      <c r="W81" s="83"/>
      <c r="X81" s="88"/>
      <c r="Y81" s="29">
        <v>5</v>
      </c>
      <c r="Z81" s="2">
        <v>9809</v>
      </c>
      <c r="AA81" s="2">
        <v>14525</v>
      </c>
      <c r="AB81" s="36">
        <v>427</v>
      </c>
      <c r="AC81" s="36">
        <f t="shared" si="8"/>
        <v>57</v>
      </c>
      <c r="AD81" s="47">
        <f t="shared" si="9"/>
        <v>-66.086986585534504</v>
      </c>
      <c r="AE81" s="48">
        <f t="shared" si="10"/>
        <v>-65.358105368599297</v>
      </c>
      <c r="AG81" s="146"/>
      <c r="AH81" s="147"/>
      <c r="AI81" s="39">
        <v>4</v>
      </c>
      <c r="AJ81" s="40">
        <v>311939</v>
      </c>
      <c r="AK81" s="40">
        <v>315405</v>
      </c>
      <c r="AL81" s="41" t="s">
        <v>69</v>
      </c>
      <c r="AM81" s="42">
        <v>92</v>
      </c>
    </row>
    <row r="82" spans="23:41" ht="21" customHeight="1" thickBot="1" x14ac:dyDescent="0.35">
      <c r="W82" s="83"/>
      <c r="X82" s="88"/>
      <c r="Y82" s="29">
        <v>8</v>
      </c>
      <c r="Z82" s="2">
        <v>12666</v>
      </c>
      <c r="AA82" s="2">
        <v>18231</v>
      </c>
      <c r="AB82" s="36">
        <v>422</v>
      </c>
      <c r="AC82" s="36">
        <f t="shared" si="8"/>
        <v>61</v>
      </c>
      <c r="AD82" s="47">
        <f>-(Z68-Z82)/Z68*100</f>
        <v>-63.705656484612291</v>
      </c>
      <c r="AE82" s="48">
        <f>(AA82-AA68)/AA68*100</f>
        <v>-63.783547547627087</v>
      </c>
      <c r="AG82" s="81" t="s">
        <v>66</v>
      </c>
      <c r="AH82" s="87"/>
      <c r="AI82" s="32" t="s">
        <v>33</v>
      </c>
      <c r="AJ82" s="33" t="s">
        <v>0</v>
      </c>
      <c r="AK82" s="33" t="s">
        <v>1</v>
      </c>
      <c r="AL82" s="38" t="s">
        <v>2</v>
      </c>
      <c r="AM82" s="34" t="s">
        <v>59</v>
      </c>
      <c r="AN82" s="21" t="s">
        <v>45</v>
      </c>
      <c r="AO82" s="22" t="s">
        <v>46</v>
      </c>
    </row>
    <row r="83" spans="23:41" ht="18.600000000000001" thickBot="1" x14ac:dyDescent="0.35">
      <c r="W83" s="85"/>
      <c r="X83" s="89"/>
      <c r="Y83" s="43">
        <v>16</v>
      </c>
      <c r="Z83" s="44">
        <v>23586</v>
      </c>
      <c r="AA83" s="44">
        <v>31800</v>
      </c>
      <c r="AB83" s="45">
        <v>361</v>
      </c>
      <c r="AC83" s="58">
        <f t="shared" si="8"/>
        <v>61</v>
      </c>
      <c r="AD83" s="60">
        <f>-(Z69-Z83)/Z69*100</f>
        <v>-58.517710788279572</v>
      </c>
      <c r="AE83" s="55">
        <f>(AA83-AA69)/AA69*100</f>
        <v>-57.409193185470912</v>
      </c>
      <c r="AG83" s="83"/>
      <c r="AH83" s="88"/>
      <c r="AI83" s="21">
        <v>2</v>
      </c>
      <c r="AJ83" s="20">
        <v>33202</v>
      </c>
      <c r="AK83" s="20">
        <v>99066</v>
      </c>
      <c r="AL83" s="37">
        <v>351</v>
      </c>
      <c r="AM83" s="22">
        <v>132</v>
      </c>
      <c r="AN83" s="47">
        <f>(AJ83-AJ79)/AJ79*100</f>
        <v>-76.524407489111383</v>
      </c>
      <c r="AO83" s="48">
        <f>(AK83-AK79)/AK79*100</f>
        <v>-30.192441848174585</v>
      </c>
    </row>
    <row r="84" spans="23:41" ht="21" thickBot="1" x14ac:dyDescent="0.35">
      <c r="W84" s="81" t="s">
        <v>66</v>
      </c>
      <c r="X84" s="87"/>
      <c r="Y84" s="32" t="s">
        <v>33</v>
      </c>
      <c r="Z84" s="33" t="s">
        <v>0</v>
      </c>
      <c r="AA84" s="33" t="s">
        <v>1</v>
      </c>
      <c r="AB84" s="38" t="s">
        <v>2</v>
      </c>
      <c r="AC84" s="38" t="s">
        <v>59</v>
      </c>
      <c r="AD84" s="57" t="s">
        <v>45</v>
      </c>
      <c r="AE84" s="34" t="s">
        <v>46</v>
      </c>
      <c r="AG84" s="83"/>
      <c r="AH84" s="88"/>
      <c r="AI84" s="4">
        <v>3</v>
      </c>
      <c r="AJ84" s="2">
        <v>44398</v>
      </c>
      <c r="AK84" s="2">
        <v>133626</v>
      </c>
      <c r="AL84" s="2">
        <v>305</v>
      </c>
      <c r="AM84" s="5">
        <v>144</v>
      </c>
      <c r="AN84" s="47">
        <f>(AJ84-AJ80)/AJ80*100</f>
        <v>-80.441840488094968</v>
      </c>
      <c r="AO84" s="48">
        <f t="shared" ref="AN84:AO85" si="11">(AK84-AK80)/AK80*100</f>
        <v>-45.503707147576286</v>
      </c>
    </row>
    <row r="85" spans="23:41" ht="18.600000000000001" thickBot="1" x14ac:dyDescent="0.35">
      <c r="W85" s="83"/>
      <c r="X85" s="88"/>
      <c r="Y85" s="35">
        <v>2</v>
      </c>
      <c r="Z85" s="27">
        <v>5301</v>
      </c>
      <c r="AA85" s="27">
        <v>7205</v>
      </c>
      <c r="AB85" s="51">
        <v>470</v>
      </c>
      <c r="AC85" s="51">
        <v>42</v>
      </c>
      <c r="AD85" s="59">
        <f>-(Z64-Z85)/Z64*100</f>
        <v>-71.816683502578542</v>
      </c>
      <c r="AE85" s="56">
        <f>(AA85-AA64)/AA64*100</f>
        <v>-59.719349248057249</v>
      </c>
      <c r="AG85" s="85"/>
      <c r="AH85" s="89"/>
      <c r="AI85" s="6">
        <v>4</v>
      </c>
      <c r="AJ85" s="7">
        <v>58104</v>
      </c>
      <c r="AK85" s="7">
        <v>162790</v>
      </c>
      <c r="AL85" s="58">
        <v>298</v>
      </c>
      <c r="AM85" s="8">
        <v>144</v>
      </c>
      <c r="AN85" s="47">
        <f t="shared" si="11"/>
        <v>-81.373281314615994</v>
      </c>
      <c r="AO85" s="48">
        <f t="shared" si="11"/>
        <v>-48.38699449913603</v>
      </c>
    </row>
    <row r="86" spans="23:41" ht="21" customHeight="1" x14ac:dyDescent="0.3">
      <c r="W86" s="83"/>
      <c r="X86" s="88"/>
      <c r="Y86" s="4">
        <v>3</v>
      </c>
      <c r="Z86" s="2">
        <v>6123</v>
      </c>
      <c r="AA86" s="2">
        <v>9599</v>
      </c>
      <c r="AB86" s="2">
        <v>321</v>
      </c>
      <c r="AC86" s="36"/>
      <c r="AD86" s="59">
        <f t="shared" ref="AD86:AD89" si="12">-(Z65-Z86)/Z65*100</f>
        <v>-73.91693290734824</v>
      </c>
      <c r="AE86" s="56">
        <f t="shared" ref="AE86:AE89" si="13">(AA86-AA65)/AA65*100</f>
        <v>-72.251611597722089</v>
      </c>
      <c r="AG86" s="61"/>
      <c r="AH86" s="61"/>
    </row>
    <row r="87" spans="23:41" ht="18.600000000000001" thickBot="1" x14ac:dyDescent="0.35">
      <c r="W87" s="83"/>
      <c r="X87" s="88"/>
      <c r="Y87" s="4">
        <v>4</v>
      </c>
      <c r="Z87" s="2">
        <v>7589</v>
      </c>
      <c r="AA87" s="2">
        <v>11758</v>
      </c>
      <c r="AB87" s="36">
        <v>312</v>
      </c>
      <c r="AC87" s="36"/>
      <c r="AD87" s="59">
        <f t="shared" si="12"/>
        <v>-74.804953354802294</v>
      </c>
      <c r="AE87" s="56">
        <f t="shared" si="13"/>
        <v>-71.175014096246727</v>
      </c>
      <c r="AG87" s="61"/>
      <c r="AH87" s="61"/>
    </row>
    <row r="88" spans="23:41" x14ac:dyDescent="0.3">
      <c r="W88" s="83"/>
      <c r="X88" s="88"/>
      <c r="Y88" s="29">
        <v>5</v>
      </c>
      <c r="Z88" s="2">
        <v>8278</v>
      </c>
      <c r="AA88" s="2">
        <v>12595</v>
      </c>
      <c r="AB88" s="36">
        <v>308</v>
      </c>
      <c r="AC88" s="36"/>
      <c r="AD88" s="59">
        <f t="shared" si="12"/>
        <v>-71.380168718019647</v>
      </c>
      <c r="AE88" s="56">
        <f t="shared" si="13"/>
        <v>-69.961124758520356</v>
      </c>
      <c r="AG88" s="99" t="s">
        <v>58</v>
      </c>
      <c r="AH88" s="100"/>
      <c r="AI88" s="100"/>
      <c r="AJ88" s="100"/>
      <c r="AK88" s="100"/>
      <c r="AL88" s="100"/>
      <c r="AM88" s="101"/>
    </row>
    <row r="89" spans="23:41" ht="18" customHeight="1" x14ac:dyDescent="0.3">
      <c r="W89" s="83"/>
      <c r="X89" s="88"/>
      <c r="Y89" s="29">
        <v>8</v>
      </c>
      <c r="Z89" s="2">
        <v>9726</v>
      </c>
      <c r="AA89" s="2">
        <v>14880</v>
      </c>
      <c r="AB89" s="36">
        <v>322</v>
      </c>
      <c r="AC89" s="36"/>
      <c r="AD89" s="59">
        <f t="shared" si="12"/>
        <v>-72.130208034844401</v>
      </c>
      <c r="AE89" s="56">
        <f t="shared" si="13"/>
        <v>-70.440413993126612</v>
      </c>
      <c r="AG89" s="102"/>
      <c r="AH89" s="103"/>
      <c r="AI89" s="103"/>
      <c r="AJ89" s="103"/>
      <c r="AK89" s="103"/>
      <c r="AL89" s="103"/>
      <c r="AM89" s="104"/>
    </row>
    <row r="90" spans="23:41" ht="18.600000000000001" thickBot="1" x14ac:dyDescent="0.35">
      <c r="W90" s="85"/>
      <c r="X90" s="89"/>
      <c r="Y90" s="43">
        <v>16</v>
      </c>
      <c r="Z90" s="44">
        <v>16113</v>
      </c>
      <c r="AA90" s="44">
        <v>25042</v>
      </c>
      <c r="AB90" s="45">
        <v>368</v>
      </c>
      <c r="AC90" s="58">
        <v>60</v>
      </c>
      <c r="AD90" s="49">
        <f>-(Z69-Z90)/Z69*100</f>
        <v>-71.660979985226362</v>
      </c>
      <c r="AE90" s="50">
        <f>(AA90-AA69)/AA69*100</f>
        <v>-66.460409300332159</v>
      </c>
      <c r="AG90" s="105"/>
      <c r="AH90" s="106"/>
      <c r="AI90" s="106"/>
      <c r="AJ90" s="106"/>
      <c r="AK90" s="106"/>
      <c r="AL90" s="106"/>
      <c r="AM90" s="107"/>
    </row>
    <row r="91" spans="23:41" ht="21" thickBot="1" x14ac:dyDescent="0.35">
      <c r="AG91" s="81" t="s">
        <v>61</v>
      </c>
      <c r="AH91" s="82"/>
      <c r="AI91" s="32" t="s">
        <v>33</v>
      </c>
      <c r="AJ91" s="33" t="s">
        <v>0</v>
      </c>
      <c r="AK91" s="33" t="s">
        <v>1</v>
      </c>
      <c r="AL91" s="38" t="s">
        <v>60</v>
      </c>
      <c r="AM91" s="34" t="s">
        <v>59</v>
      </c>
    </row>
    <row r="92" spans="23:41" x14ac:dyDescent="0.3">
      <c r="AG92" s="83"/>
      <c r="AH92" s="84"/>
      <c r="AI92" s="21">
        <v>2</v>
      </c>
      <c r="AJ92" s="20">
        <v>18809</v>
      </c>
      <c r="AK92" s="20">
        <v>17887</v>
      </c>
      <c r="AL92" s="37">
        <v>417</v>
      </c>
      <c r="AM92" s="22">
        <v>25</v>
      </c>
    </row>
    <row r="93" spans="23:41" x14ac:dyDescent="0.3">
      <c r="AG93" s="83"/>
      <c r="AH93" s="84"/>
      <c r="AI93" s="4">
        <v>3</v>
      </c>
      <c r="AJ93" s="2">
        <v>23475</v>
      </c>
      <c r="AK93" s="2">
        <v>34593</v>
      </c>
      <c r="AL93" s="2">
        <v>316</v>
      </c>
      <c r="AM93" s="5">
        <v>31</v>
      </c>
    </row>
    <row r="94" spans="23:41" ht="18" customHeight="1" x14ac:dyDescent="0.3">
      <c r="AG94" s="83"/>
      <c r="AH94" s="84"/>
      <c r="AI94" s="4">
        <v>4</v>
      </c>
      <c r="AJ94" s="2">
        <v>30121</v>
      </c>
      <c r="AK94" s="2">
        <v>40791</v>
      </c>
      <c r="AL94" s="36">
        <v>315</v>
      </c>
      <c r="AM94" s="5">
        <v>31</v>
      </c>
    </row>
    <row r="95" spans="23:41" ht="18" customHeight="1" x14ac:dyDescent="0.3">
      <c r="AG95" s="83"/>
      <c r="AH95" s="84"/>
      <c r="AI95" s="29">
        <v>5</v>
      </c>
      <c r="AJ95" s="2">
        <v>28924</v>
      </c>
      <c r="AK95" s="2">
        <v>41929</v>
      </c>
      <c r="AL95" s="36">
        <v>305</v>
      </c>
      <c r="AM95" s="5">
        <v>40</v>
      </c>
    </row>
    <row r="96" spans="23:41" ht="18.600000000000001" customHeight="1" x14ac:dyDescent="0.3">
      <c r="AG96" s="83"/>
      <c r="AH96" s="84"/>
      <c r="AI96" s="39">
        <v>8</v>
      </c>
      <c r="AJ96" s="40">
        <v>34898</v>
      </c>
      <c r="AK96" s="40">
        <v>50339</v>
      </c>
      <c r="AL96" s="41">
        <v>329</v>
      </c>
      <c r="AM96" s="42">
        <v>44</v>
      </c>
    </row>
    <row r="97" spans="33:49" ht="21" customHeight="1" thickBot="1" x14ac:dyDescent="0.35">
      <c r="AG97" s="85"/>
      <c r="AH97" s="86"/>
      <c r="AI97" s="30">
        <v>16</v>
      </c>
      <c r="AJ97" s="7">
        <v>56858</v>
      </c>
      <c r="AK97" s="7">
        <v>74664</v>
      </c>
      <c r="AL97" s="7">
        <v>319</v>
      </c>
      <c r="AM97" s="8">
        <v>44</v>
      </c>
    </row>
    <row r="98" spans="33:49" ht="21" thickBot="1" x14ac:dyDescent="0.35">
      <c r="AG98" s="81" t="s">
        <v>66</v>
      </c>
      <c r="AH98" s="87"/>
      <c r="AI98" s="32" t="s">
        <v>33</v>
      </c>
      <c r="AJ98" s="33" t="s">
        <v>0</v>
      </c>
      <c r="AK98" s="33" t="s">
        <v>1</v>
      </c>
      <c r="AL98" s="38" t="s">
        <v>2</v>
      </c>
      <c r="AM98" s="38" t="s">
        <v>59</v>
      </c>
      <c r="AN98" s="57" t="s">
        <v>45</v>
      </c>
      <c r="AO98" s="34" t="s">
        <v>46</v>
      </c>
    </row>
    <row r="99" spans="33:49" x14ac:dyDescent="0.3">
      <c r="AG99" s="83"/>
      <c r="AH99" s="88"/>
      <c r="AI99" s="35">
        <v>2</v>
      </c>
      <c r="AJ99" s="27">
        <v>5301</v>
      </c>
      <c r="AK99" s="27">
        <v>7205</v>
      </c>
      <c r="AL99" s="51">
        <v>470</v>
      </c>
      <c r="AM99" s="51">
        <f>AM92+17</f>
        <v>42</v>
      </c>
      <c r="AN99" s="59">
        <f>-(AJ92-AJ99)/AJ92*100</f>
        <v>-71.816683502578542</v>
      </c>
      <c r="AO99" s="56">
        <f>-(AK92-AK99)/AK92*100</f>
        <v>-59.719349248057249</v>
      </c>
    </row>
    <row r="100" spans="33:49" x14ac:dyDescent="0.3">
      <c r="AG100" s="83"/>
      <c r="AH100" s="88"/>
      <c r="AI100" s="4">
        <v>3</v>
      </c>
      <c r="AJ100" s="2">
        <v>6123</v>
      </c>
      <c r="AK100" s="2">
        <v>9599</v>
      </c>
      <c r="AL100" s="2">
        <v>321</v>
      </c>
      <c r="AM100" s="51">
        <f t="shared" ref="AM100:AM104" si="14">AM93+17</f>
        <v>48</v>
      </c>
      <c r="AN100" s="59">
        <f t="shared" ref="AN100:AN104" si="15">-(AJ93-AJ100)/AJ93*100</f>
        <v>-73.91693290734824</v>
      </c>
      <c r="AO100" s="56">
        <f t="shared" ref="AO100:AO104" si="16">-(AK93-AK100)/AK93*100</f>
        <v>-72.251611597722089</v>
      </c>
    </row>
    <row r="101" spans="33:49" x14ac:dyDescent="0.3">
      <c r="AG101" s="83"/>
      <c r="AH101" s="88"/>
      <c r="AI101" s="4">
        <v>4</v>
      </c>
      <c r="AJ101" s="2">
        <v>7589</v>
      </c>
      <c r="AK101" s="2">
        <v>11758</v>
      </c>
      <c r="AL101" s="36">
        <v>312</v>
      </c>
      <c r="AM101" s="51">
        <f t="shared" si="14"/>
        <v>48</v>
      </c>
      <c r="AN101" s="59">
        <f t="shared" si="15"/>
        <v>-74.804953354802294</v>
      </c>
      <c r="AO101" s="56">
        <f t="shared" si="16"/>
        <v>-71.175014096246727</v>
      </c>
    </row>
    <row r="102" spans="33:49" x14ac:dyDescent="0.3">
      <c r="AG102" s="83"/>
      <c r="AH102" s="88"/>
      <c r="AI102" s="29">
        <v>5</v>
      </c>
      <c r="AJ102" s="2">
        <v>8278</v>
      </c>
      <c r="AK102" s="2">
        <v>12595</v>
      </c>
      <c r="AL102" s="36">
        <v>308</v>
      </c>
      <c r="AM102" s="51">
        <f t="shared" si="14"/>
        <v>57</v>
      </c>
      <c r="AN102" s="59">
        <f t="shared" si="15"/>
        <v>-71.380168718019647</v>
      </c>
      <c r="AO102" s="56">
        <f t="shared" si="16"/>
        <v>-69.961124758520356</v>
      </c>
    </row>
    <row r="103" spans="33:49" ht="21" customHeight="1" x14ac:dyDescent="0.3">
      <c r="AG103" s="83"/>
      <c r="AH103" s="88"/>
      <c r="AI103" s="29">
        <v>8</v>
      </c>
      <c r="AJ103" s="2">
        <v>9726</v>
      </c>
      <c r="AK103" s="2">
        <v>14880</v>
      </c>
      <c r="AL103" s="36">
        <v>322</v>
      </c>
      <c r="AM103" s="51">
        <f t="shared" si="14"/>
        <v>61</v>
      </c>
      <c r="AN103" s="59">
        <f t="shared" si="15"/>
        <v>-72.130208034844401</v>
      </c>
      <c r="AO103" s="56">
        <f t="shared" si="16"/>
        <v>-70.440413993126612</v>
      </c>
    </row>
    <row r="104" spans="33:49" ht="18.600000000000001" thickBot="1" x14ac:dyDescent="0.35">
      <c r="AG104" s="85"/>
      <c r="AH104" s="89"/>
      <c r="AI104" s="43">
        <v>16</v>
      </c>
      <c r="AJ104" s="44">
        <v>16113</v>
      </c>
      <c r="AK104" s="44">
        <v>25042</v>
      </c>
      <c r="AL104" s="45">
        <v>368</v>
      </c>
      <c r="AM104" s="51">
        <f t="shared" si="14"/>
        <v>61</v>
      </c>
      <c r="AN104" s="59">
        <f t="shared" si="15"/>
        <v>-71.660979985226362</v>
      </c>
      <c r="AO104" s="56">
        <f t="shared" si="16"/>
        <v>-66.460409300332159</v>
      </c>
    </row>
    <row r="108" spans="33:49" ht="65.400000000000006" customHeight="1" x14ac:dyDescent="0.3">
      <c r="AG108" s="80" t="s">
        <v>77</v>
      </c>
      <c r="AH108" s="80"/>
      <c r="AI108" s="76" t="s">
        <v>71</v>
      </c>
      <c r="AJ108" s="76" t="s">
        <v>72</v>
      </c>
      <c r="AK108" s="76" t="s">
        <v>73</v>
      </c>
      <c r="AL108" s="76" t="s">
        <v>76</v>
      </c>
      <c r="AM108" s="76" t="s">
        <v>70</v>
      </c>
      <c r="AN108" s="72"/>
      <c r="AO108" s="72"/>
      <c r="AQ108" s="79" t="s">
        <v>77</v>
      </c>
      <c r="AR108" s="79"/>
      <c r="AS108" s="75" t="s">
        <v>71</v>
      </c>
      <c r="AT108" s="75" t="s">
        <v>72</v>
      </c>
      <c r="AU108" s="75" t="s">
        <v>73</v>
      </c>
      <c r="AV108" s="75" t="s">
        <v>76</v>
      </c>
      <c r="AW108" s="75" t="s">
        <v>70</v>
      </c>
    </row>
    <row r="109" spans="33:49" ht="12" customHeight="1" x14ac:dyDescent="0.3">
      <c r="AG109" s="80" t="s">
        <v>74</v>
      </c>
      <c r="AH109" s="80"/>
      <c r="AI109" s="77">
        <v>2</v>
      </c>
      <c r="AJ109" s="77">
        <v>18809</v>
      </c>
      <c r="AK109" s="77">
        <v>17887</v>
      </c>
      <c r="AL109" s="77">
        <v>417</v>
      </c>
      <c r="AM109" s="77">
        <v>25</v>
      </c>
      <c r="AN109" s="72"/>
      <c r="AO109" s="72"/>
      <c r="AQ109" s="148" t="s">
        <v>74</v>
      </c>
      <c r="AR109" s="149"/>
      <c r="AS109" s="77">
        <v>2</v>
      </c>
      <c r="AT109" s="77">
        <v>141432</v>
      </c>
      <c r="AU109" s="77">
        <v>141913</v>
      </c>
      <c r="AV109" s="77">
        <v>306</v>
      </c>
      <c r="AW109" s="77">
        <v>80</v>
      </c>
    </row>
    <row r="110" spans="33:49" ht="12" customHeight="1" x14ac:dyDescent="0.3">
      <c r="AG110" s="80"/>
      <c r="AH110" s="80"/>
      <c r="AI110" s="77">
        <v>3</v>
      </c>
      <c r="AJ110" s="77">
        <v>23475</v>
      </c>
      <c r="AK110" s="77">
        <v>34593</v>
      </c>
      <c r="AL110" s="77">
        <v>316</v>
      </c>
      <c r="AM110" s="77">
        <v>31</v>
      </c>
      <c r="AN110" s="72"/>
      <c r="AO110" s="72"/>
      <c r="AQ110" s="150"/>
      <c r="AR110" s="151"/>
      <c r="AS110" s="77">
        <v>3</v>
      </c>
      <c r="AT110" s="77">
        <v>227005</v>
      </c>
      <c r="AU110" s="77">
        <v>245202</v>
      </c>
      <c r="AV110" s="77" t="s">
        <v>78</v>
      </c>
      <c r="AW110" s="77">
        <v>92</v>
      </c>
    </row>
    <row r="111" spans="33:49" ht="12" customHeight="1" x14ac:dyDescent="0.3">
      <c r="AG111" s="80"/>
      <c r="AH111" s="80"/>
      <c r="AI111" s="77">
        <v>4</v>
      </c>
      <c r="AJ111" s="77">
        <v>30121</v>
      </c>
      <c r="AK111" s="77">
        <v>40791</v>
      </c>
      <c r="AL111" s="77">
        <v>315</v>
      </c>
      <c r="AM111" s="77">
        <v>31</v>
      </c>
      <c r="AN111" s="72"/>
      <c r="AO111" s="72"/>
      <c r="AQ111" s="79" t="s">
        <v>75</v>
      </c>
      <c r="AR111" s="79"/>
      <c r="AS111" s="77">
        <v>2</v>
      </c>
      <c r="AT111" s="77">
        <v>33202</v>
      </c>
      <c r="AU111" s="77">
        <v>99066</v>
      </c>
      <c r="AV111" s="77">
        <v>351</v>
      </c>
      <c r="AW111" s="77">
        <v>132</v>
      </c>
    </row>
    <row r="112" spans="33:49" ht="12" customHeight="1" x14ac:dyDescent="0.3">
      <c r="AG112" s="80"/>
      <c r="AH112" s="80"/>
      <c r="AI112" s="76">
        <v>5</v>
      </c>
      <c r="AJ112" s="77">
        <v>28924</v>
      </c>
      <c r="AK112" s="77">
        <v>41929</v>
      </c>
      <c r="AL112" s="77">
        <v>305</v>
      </c>
      <c r="AM112" s="77">
        <v>40</v>
      </c>
      <c r="AN112" s="72"/>
      <c r="AQ112" s="79"/>
      <c r="AR112" s="79"/>
      <c r="AS112" s="77">
        <v>3</v>
      </c>
      <c r="AT112" s="77">
        <v>44398</v>
      </c>
      <c r="AU112" s="77">
        <v>133626</v>
      </c>
      <c r="AV112" s="77">
        <v>305</v>
      </c>
      <c r="AW112" s="77">
        <v>144</v>
      </c>
    </row>
    <row r="113" spans="33:49" ht="12" customHeight="1" x14ac:dyDescent="0.3">
      <c r="AG113" s="80"/>
      <c r="AH113" s="80"/>
      <c r="AI113" s="76">
        <v>8</v>
      </c>
      <c r="AJ113" s="77">
        <v>34898</v>
      </c>
      <c r="AK113" s="77">
        <v>50339</v>
      </c>
      <c r="AL113" s="77">
        <v>322</v>
      </c>
      <c r="AM113" s="77">
        <v>44</v>
      </c>
      <c r="AN113" s="72"/>
      <c r="AQ113" s="79"/>
      <c r="AR113" s="79"/>
      <c r="AS113" s="77">
        <v>4</v>
      </c>
      <c r="AT113" s="77">
        <v>58104</v>
      </c>
      <c r="AU113" s="77">
        <v>162790</v>
      </c>
      <c r="AV113" s="77">
        <v>302</v>
      </c>
      <c r="AW113" s="77">
        <v>144</v>
      </c>
    </row>
    <row r="114" spans="33:49" ht="12" customHeight="1" x14ac:dyDescent="0.3">
      <c r="AG114" s="80"/>
      <c r="AH114" s="80"/>
      <c r="AI114" s="76">
        <v>16</v>
      </c>
      <c r="AJ114" s="77">
        <v>56858</v>
      </c>
      <c r="AK114" s="77">
        <v>74664</v>
      </c>
      <c r="AL114" s="77">
        <v>329</v>
      </c>
      <c r="AM114" s="77">
        <v>44</v>
      </c>
      <c r="AN114" s="72"/>
      <c r="AQ114" s="79"/>
      <c r="AR114" s="79"/>
      <c r="AS114" s="77">
        <v>5</v>
      </c>
      <c r="AT114" s="77">
        <v>91843</v>
      </c>
      <c r="AU114" s="77">
        <v>202514</v>
      </c>
      <c r="AV114" s="77">
        <v>300</v>
      </c>
      <c r="AW114" s="77">
        <v>179</v>
      </c>
    </row>
    <row r="115" spans="33:49" ht="12" customHeight="1" x14ac:dyDescent="0.3">
      <c r="AG115" s="80" t="s">
        <v>75</v>
      </c>
      <c r="AH115" s="80"/>
      <c r="AI115" s="77">
        <v>2</v>
      </c>
      <c r="AJ115" s="77">
        <v>5301</v>
      </c>
      <c r="AK115" s="77">
        <v>7205</v>
      </c>
      <c r="AL115" s="77">
        <v>430</v>
      </c>
      <c r="AM115" s="77">
        <f>AM109+17</f>
        <v>42</v>
      </c>
      <c r="AQ115" s="79"/>
      <c r="AR115" s="79"/>
      <c r="AS115" s="77">
        <v>8</v>
      </c>
      <c r="AT115" s="77">
        <v>105331</v>
      </c>
      <c r="AU115" s="77">
        <v>232964</v>
      </c>
      <c r="AV115" s="77">
        <v>309</v>
      </c>
      <c r="AW115" s="77">
        <v>189</v>
      </c>
    </row>
    <row r="116" spans="33:49" ht="12" customHeight="1" x14ac:dyDescent="0.3">
      <c r="AG116" s="80"/>
      <c r="AH116" s="80"/>
      <c r="AI116" s="77">
        <v>3</v>
      </c>
      <c r="AJ116" s="77">
        <v>6123</v>
      </c>
      <c r="AK116" s="77">
        <v>9599</v>
      </c>
      <c r="AL116" s="77">
        <v>321</v>
      </c>
      <c r="AM116" s="77">
        <f t="shared" ref="AM116:AM120" si="17">AM110+17</f>
        <v>48</v>
      </c>
      <c r="AQ116" s="79"/>
      <c r="AR116" s="79"/>
      <c r="AS116" s="77">
        <v>16</v>
      </c>
      <c r="AT116" s="77">
        <v>262644</v>
      </c>
      <c r="AU116" s="77">
        <v>531764</v>
      </c>
      <c r="AV116" s="77" t="s">
        <v>78</v>
      </c>
      <c r="AW116" s="77">
        <v>224</v>
      </c>
    </row>
    <row r="117" spans="33:49" ht="12" customHeight="1" x14ac:dyDescent="0.3">
      <c r="AG117" s="80"/>
      <c r="AH117" s="80"/>
      <c r="AI117" s="77">
        <v>4</v>
      </c>
      <c r="AJ117" s="77">
        <v>7589</v>
      </c>
      <c r="AK117" s="77">
        <v>11758</v>
      </c>
      <c r="AL117" s="77">
        <v>317</v>
      </c>
      <c r="AM117" s="77">
        <f t="shared" si="17"/>
        <v>48</v>
      </c>
    </row>
    <row r="118" spans="33:49" ht="12" customHeight="1" x14ac:dyDescent="0.3">
      <c r="AG118" s="80"/>
      <c r="AH118" s="80"/>
      <c r="AI118" s="76">
        <v>5</v>
      </c>
      <c r="AJ118" s="77">
        <v>8278</v>
      </c>
      <c r="AK118" s="77">
        <v>12595</v>
      </c>
      <c r="AL118" s="77">
        <v>308</v>
      </c>
      <c r="AM118" s="77">
        <f t="shared" si="17"/>
        <v>57</v>
      </c>
    </row>
    <row r="119" spans="33:49" ht="12" customHeight="1" x14ac:dyDescent="0.3">
      <c r="AG119" s="80"/>
      <c r="AH119" s="80"/>
      <c r="AI119" s="76">
        <v>8</v>
      </c>
      <c r="AJ119" s="77">
        <v>9726</v>
      </c>
      <c r="AK119" s="77">
        <v>14880</v>
      </c>
      <c r="AL119" s="77">
        <v>322</v>
      </c>
      <c r="AM119" s="77">
        <f t="shared" si="17"/>
        <v>61</v>
      </c>
    </row>
    <row r="120" spans="33:49" ht="12" customHeight="1" x14ac:dyDescent="0.3">
      <c r="AG120" s="80"/>
      <c r="AH120" s="80"/>
      <c r="AI120" s="76">
        <v>16</v>
      </c>
      <c r="AJ120" s="77">
        <v>16113</v>
      </c>
      <c r="AK120" s="77">
        <v>25042</v>
      </c>
      <c r="AL120" s="77">
        <v>368</v>
      </c>
      <c r="AM120" s="77">
        <f t="shared" si="17"/>
        <v>61</v>
      </c>
    </row>
    <row r="122" spans="33:49" x14ac:dyDescent="0.3">
      <c r="AN122" s="73">
        <f t="shared" ref="AN122:AO127" si="18">-(AJ109-AJ115)/AJ109*100</f>
        <v>-71.816683502578542</v>
      </c>
      <c r="AO122" s="74">
        <f t="shared" si="18"/>
        <v>-59.719349248057249</v>
      </c>
    </row>
    <row r="123" spans="33:49" x14ac:dyDescent="0.3">
      <c r="AN123" s="73">
        <f t="shared" si="18"/>
        <v>-73.91693290734824</v>
      </c>
      <c r="AO123" s="74">
        <f t="shared" si="18"/>
        <v>-72.251611597722089</v>
      </c>
    </row>
    <row r="124" spans="33:49" x14ac:dyDescent="0.3">
      <c r="AN124" s="73">
        <f t="shared" si="18"/>
        <v>-74.804953354802294</v>
      </c>
      <c r="AO124" s="74">
        <f t="shared" si="18"/>
        <v>-71.175014096246727</v>
      </c>
    </row>
    <row r="125" spans="33:49" x14ac:dyDescent="0.3">
      <c r="AN125" s="73">
        <f t="shared" si="18"/>
        <v>-71.380168718019647</v>
      </c>
      <c r="AO125" s="74">
        <f t="shared" si="18"/>
        <v>-69.961124758520356</v>
      </c>
    </row>
    <row r="126" spans="33:49" x14ac:dyDescent="0.3">
      <c r="AN126" s="73">
        <f t="shared" si="18"/>
        <v>-72.130208034844401</v>
      </c>
      <c r="AO126" s="74">
        <f t="shared" si="18"/>
        <v>-70.440413993126612</v>
      </c>
    </row>
    <row r="127" spans="33:49" x14ac:dyDescent="0.3">
      <c r="AN127" s="73">
        <f t="shared" si="18"/>
        <v>-71.660979985226362</v>
      </c>
      <c r="AO127" s="74">
        <f t="shared" si="18"/>
        <v>-66.460409300332159</v>
      </c>
      <c r="AQ127"/>
      <c r="AR127"/>
      <c r="AS127"/>
      <c r="AT127"/>
      <c r="AU127"/>
      <c r="AV127"/>
      <c r="AW127"/>
    </row>
    <row r="128" spans="33:49" x14ac:dyDescent="0.3">
      <c r="AQ128"/>
      <c r="AR128"/>
      <c r="AS128"/>
      <c r="AT128"/>
      <c r="AU128"/>
      <c r="AV128"/>
      <c r="AW128"/>
    </row>
    <row r="129" spans="43:51" x14ac:dyDescent="0.3">
      <c r="AQ129"/>
      <c r="AR129"/>
      <c r="AS129"/>
      <c r="AT129"/>
      <c r="AU129"/>
      <c r="AV129"/>
      <c r="AW129"/>
    </row>
    <row r="130" spans="43:51" ht="62.4" x14ac:dyDescent="0.3">
      <c r="AQ130" s="79" t="s">
        <v>77</v>
      </c>
      <c r="AR130" s="79"/>
      <c r="AS130" s="75" t="s">
        <v>71</v>
      </c>
      <c r="AT130" s="75" t="s">
        <v>72</v>
      </c>
      <c r="AU130" s="75" t="s">
        <v>73</v>
      </c>
      <c r="AV130" s="75" t="s">
        <v>76</v>
      </c>
      <c r="AW130" s="75" t="s">
        <v>70</v>
      </c>
    </row>
    <row r="131" spans="43:51" x14ac:dyDescent="0.3">
      <c r="AQ131" s="79" t="s">
        <v>74</v>
      </c>
      <c r="AR131" s="79"/>
      <c r="AS131" s="77">
        <v>2</v>
      </c>
      <c r="AT131" s="77">
        <v>62764</v>
      </c>
      <c r="AU131" s="77">
        <v>59682</v>
      </c>
      <c r="AV131" s="77">
        <v>331</v>
      </c>
      <c r="AW131" s="77">
        <v>34</v>
      </c>
    </row>
    <row r="132" spans="43:51" ht="18" customHeight="1" x14ac:dyDescent="0.3">
      <c r="AQ132" s="79"/>
      <c r="AR132" s="79"/>
      <c r="AS132" s="77">
        <v>3</v>
      </c>
      <c r="AT132" s="78">
        <v>76297</v>
      </c>
      <c r="AU132" s="78">
        <v>82110</v>
      </c>
      <c r="AV132" s="78">
        <v>303</v>
      </c>
      <c r="AW132" s="77">
        <v>40</v>
      </c>
    </row>
    <row r="133" spans="43:51" x14ac:dyDescent="0.3">
      <c r="AQ133" s="79"/>
      <c r="AR133" s="79"/>
      <c r="AS133" s="77">
        <v>4</v>
      </c>
      <c r="AT133" s="78">
        <v>102637</v>
      </c>
      <c r="AU133" s="78">
        <v>103139</v>
      </c>
      <c r="AV133" s="78">
        <v>298</v>
      </c>
      <c r="AW133" s="77">
        <v>40</v>
      </c>
    </row>
    <row r="134" spans="43:51" x14ac:dyDescent="0.3">
      <c r="AQ134" s="79"/>
      <c r="AR134" s="79"/>
      <c r="AS134" s="76">
        <v>5</v>
      </c>
      <c r="AT134" s="78">
        <v>157548</v>
      </c>
      <c r="AU134" s="78">
        <v>168731</v>
      </c>
      <c r="AV134" s="78">
        <v>310</v>
      </c>
      <c r="AW134" s="77">
        <f>78-26</f>
        <v>52</v>
      </c>
    </row>
    <row r="135" spans="43:51" x14ac:dyDescent="0.3">
      <c r="AQ135" s="79"/>
      <c r="AR135" s="79"/>
      <c r="AS135" s="76">
        <v>8</v>
      </c>
      <c r="AT135" s="77">
        <v>186808</v>
      </c>
      <c r="AU135" s="77">
        <v>204566</v>
      </c>
      <c r="AV135" s="77">
        <v>308</v>
      </c>
      <c r="AW135" s="77">
        <v>57</v>
      </c>
    </row>
    <row r="136" spans="43:51" x14ac:dyDescent="0.3">
      <c r="AQ136" s="79"/>
      <c r="AR136" s="79"/>
      <c r="AS136" s="77">
        <v>16</v>
      </c>
      <c r="AT136" s="77">
        <v>456817</v>
      </c>
      <c r="AU136" s="77">
        <v>448421</v>
      </c>
      <c r="AV136" s="77" t="s">
        <v>78</v>
      </c>
      <c r="AW136" s="77">
        <v>68</v>
      </c>
    </row>
    <row r="137" spans="43:51" ht="18" customHeight="1" x14ac:dyDescent="0.3">
      <c r="AQ137" s="79" t="s">
        <v>75</v>
      </c>
      <c r="AR137" s="79"/>
      <c r="AS137" s="77">
        <v>2</v>
      </c>
      <c r="AT137" s="77">
        <v>15702</v>
      </c>
      <c r="AU137" s="77">
        <v>21154</v>
      </c>
      <c r="AV137" s="77">
        <v>437</v>
      </c>
      <c r="AW137" s="77">
        <v>60</v>
      </c>
    </row>
    <row r="138" spans="43:51" ht="18" customHeight="1" x14ac:dyDescent="0.3">
      <c r="AQ138" s="79"/>
      <c r="AR138" s="79"/>
      <c r="AS138" s="77">
        <v>3</v>
      </c>
      <c r="AT138" s="78">
        <v>18507</v>
      </c>
      <c r="AU138" s="78">
        <v>27108</v>
      </c>
      <c r="AV138" s="78">
        <v>311</v>
      </c>
      <c r="AW138" s="77">
        <v>66</v>
      </c>
    </row>
    <row r="139" spans="43:51" x14ac:dyDescent="0.3">
      <c r="AQ139" s="79"/>
      <c r="AR139" s="79"/>
      <c r="AS139" s="77">
        <v>4</v>
      </c>
      <c r="AT139" s="78">
        <v>23088</v>
      </c>
      <c r="AU139" s="78">
        <v>33154</v>
      </c>
      <c r="AV139" s="78">
        <v>305</v>
      </c>
      <c r="AW139" s="77">
        <v>66</v>
      </c>
    </row>
    <row r="140" spans="43:51" x14ac:dyDescent="0.3">
      <c r="AQ140" s="79"/>
      <c r="AR140" s="79"/>
      <c r="AS140" s="76">
        <v>5</v>
      </c>
      <c r="AT140" s="77">
        <v>30171</v>
      </c>
      <c r="AU140" s="77">
        <v>41800</v>
      </c>
      <c r="AV140" s="77">
        <v>297</v>
      </c>
      <c r="AW140" s="77">
        <v>78</v>
      </c>
    </row>
    <row r="141" spans="43:51" x14ac:dyDescent="0.3">
      <c r="AQ141" s="79"/>
      <c r="AR141" s="79"/>
      <c r="AS141" s="76">
        <v>8</v>
      </c>
      <c r="AT141" s="77">
        <v>36635</v>
      </c>
      <c r="AU141" s="77">
        <v>48979</v>
      </c>
      <c r="AV141" s="77">
        <v>309</v>
      </c>
      <c r="AW141" s="77">
        <v>83</v>
      </c>
    </row>
    <row r="142" spans="43:51" x14ac:dyDescent="0.3">
      <c r="AQ142" s="79"/>
      <c r="AR142" s="79"/>
      <c r="AS142" s="77">
        <v>16</v>
      </c>
      <c r="AT142" s="77">
        <v>77215</v>
      </c>
      <c r="AU142" s="77">
        <v>104233</v>
      </c>
      <c r="AV142" s="77">
        <v>301</v>
      </c>
      <c r="AW142" s="77">
        <v>94</v>
      </c>
    </row>
    <row r="143" spans="43:51" x14ac:dyDescent="0.3">
      <c r="AY143" s="1">
        <f>-(AT136-AT142)/AT136*100</f>
        <v>-83.097170201634356</v>
      </c>
    </row>
  </sheetData>
  <mergeCells count="78">
    <mergeCell ref="AG78:AH81"/>
    <mergeCell ref="AG82:AH85"/>
    <mergeCell ref="W77:X83"/>
    <mergeCell ref="E38:F45"/>
    <mergeCell ref="W84:X90"/>
    <mergeCell ref="AG63:AH68"/>
    <mergeCell ref="AG69:AH74"/>
    <mergeCell ref="AG88:AM90"/>
    <mergeCell ref="E30:F37"/>
    <mergeCell ref="W60:AC62"/>
    <mergeCell ref="W63:X69"/>
    <mergeCell ref="AC37:AD37"/>
    <mergeCell ref="S30:T37"/>
    <mergeCell ref="E48:K50"/>
    <mergeCell ref="E51:F57"/>
    <mergeCell ref="E58:F64"/>
    <mergeCell ref="N58:O64"/>
    <mergeCell ref="AH18:AJ20"/>
    <mergeCell ref="AE21:AF24"/>
    <mergeCell ref="S27:AB29"/>
    <mergeCell ref="W70:X76"/>
    <mergeCell ref="S38:T45"/>
    <mergeCell ref="AG60:AM62"/>
    <mergeCell ref="AA18:AC20"/>
    <mergeCell ref="AG75:AM77"/>
    <mergeCell ref="D1:E1"/>
    <mergeCell ref="F1:I1"/>
    <mergeCell ref="D9:E9"/>
    <mergeCell ref="F9:G9"/>
    <mergeCell ref="H4:J6"/>
    <mergeCell ref="H3:J3"/>
    <mergeCell ref="F8:G8"/>
    <mergeCell ref="D4:G6"/>
    <mergeCell ref="D7:E7"/>
    <mergeCell ref="F7:G7"/>
    <mergeCell ref="D8:E8"/>
    <mergeCell ref="Q3:S3"/>
    <mergeCell ref="W3:Y3"/>
    <mergeCell ref="N3:P3"/>
    <mergeCell ref="H11:P11"/>
    <mergeCell ref="K3:M3"/>
    <mergeCell ref="T3:V3"/>
    <mergeCell ref="T4:V6"/>
    <mergeCell ref="Q4:S6"/>
    <mergeCell ref="K4:M6"/>
    <mergeCell ref="N4:P6"/>
    <mergeCell ref="AC3:AE3"/>
    <mergeCell ref="AC4:AE6"/>
    <mergeCell ref="Z3:AB3"/>
    <mergeCell ref="Z4:AB6"/>
    <mergeCell ref="W4:Y6"/>
    <mergeCell ref="E27:N29"/>
    <mergeCell ref="W51:X56"/>
    <mergeCell ref="W48:AE50"/>
    <mergeCell ref="D10:E10"/>
    <mergeCell ref="F10:G10"/>
    <mergeCell ref="N48:T50"/>
    <mergeCell ref="N51:O57"/>
    <mergeCell ref="S18:U20"/>
    <mergeCell ref="N13:P15"/>
    <mergeCell ref="H17:J17"/>
    <mergeCell ref="H18:J20"/>
    <mergeCell ref="E21:F24"/>
    <mergeCell ref="K17:M17"/>
    <mergeCell ref="K18:M20"/>
    <mergeCell ref="O21:P24"/>
    <mergeCell ref="X21:Y24"/>
    <mergeCell ref="AG109:AH114"/>
    <mergeCell ref="AG115:AH120"/>
    <mergeCell ref="AG108:AH108"/>
    <mergeCell ref="AQ130:AR130"/>
    <mergeCell ref="AG91:AH97"/>
    <mergeCell ref="AG98:AH104"/>
    <mergeCell ref="AQ109:AR110"/>
    <mergeCell ref="AQ108:AR108"/>
    <mergeCell ref="AQ137:AR142"/>
    <mergeCell ref="AQ131:AR136"/>
    <mergeCell ref="AQ111:AR1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назариков</dc:creator>
  <cp:lastModifiedBy>вячеслав назариков</cp:lastModifiedBy>
  <dcterms:created xsi:type="dcterms:W3CDTF">2015-06-05T18:19:34Z</dcterms:created>
  <dcterms:modified xsi:type="dcterms:W3CDTF">2026-05-31T20:37:32Z</dcterms:modified>
</cp:coreProperties>
</file>