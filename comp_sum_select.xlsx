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"/>
    </mc:Choice>
  </mc:AlternateContent>
  <xr:revisionPtr revIDLastSave="0" documentId="13_ncr:1_{C0D471B1-746B-41A7-A1A6-FEC32D5AC0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W134" i="1"/>
  <c r="AM120" i="1"/>
  <c r="AM119" i="1"/>
  <c r="AM118" i="1"/>
  <c r="AM117" i="1"/>
  <c r="AM116" i="1"/>
  <c r="AM115" i="1"/>
  <c r="AD78" i="1"/>
  <c r="AE90" i="1"/>
  <c r="AD90" i="1"/>
  <c r="AE86" i="1"/>
  <c r="AE87" i="1"/>
  <c r="AE88" i="1"/>
  <c r="AE89" i="1"/>
  <c r="AE85" i="1"/>
  <c r="AD86" i="1"/>
  <c r="AD87" i="1"/>
  <c r="AD88" i="1"/>
  <c r="AD89" i="1"/>
  <c r="AD85" i="1"/>
  <c r="AE80" i="1"/>
  <c r="AC79" i="1"/>
  <c r="AC80" i="1"/>
  <c r="AC81" i="1"/>
  <c r="AC82" i="1"/>
  <c r="AC83" i="1"/>
  <c r="AC78" i="1"/>
  <c r="AC72" i="1"/>
  <c r="AC73" i="1"/>
  <c r="AC74" i="1"/>
  <c r="AC75" i="1"/>
  <c r="AC76" i="1"/>
  <c r="AC71" i="1"/>
  <c r="AE78" i="1"/>
  <c r="AE79" i="1"/>
  <c r="AE81" i="1"/>
  <c r="AD79" i="1"/>
  <c r="AD80" i="1"/>
  <c r="AD81" i="1"/>
  <c r="AE83" i="1"/>
  <c r="AD83" i="1"/>
  <c r="AD82" i="1"/>
  <c r="AE82" i="1"/>
  <c r="AE76" i="1"/>
  <c r="AD76" i="1"/>
  <c r="AD75" i="1"/>
  <c r="AE75" i="1"/>
  <c r="AE72" i="1"/>
  <c r="AE73" i="1"/>
  <c r="AE74" i="1"/>
  <c r="AE71" i="1"/>
  <c r="AD72" i="1"/>
  <c r="AD73" i="1"/>
  <c r="AD74" i="1"/>
  <c r="AD71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<sst xmlns="http://schemas.openxmlformats.org/spreadsheetml/2006/main" count="215" uniqueCount="74">
  <si>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</si>
  <si>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</si>
  <si>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</si>
  <si>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</si>
  <si>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</si>
  <si>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</si>
  <si>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</si>
  <si>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</si>
  <si>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</si>
  <si>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</si>
  <si>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</si>
  <si>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</si>
  <si>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</si>
  <si>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</si>
  <si>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</si>
  <si>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</si>
  <si>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</si>
  <si>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</si>
  <si>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</si>
  <si>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</si>
  <si>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</si>
  <si>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</si>
  <si>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</si>
  <si>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</si>
  <si>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</si>
  <si>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</si>
  <si>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</si>
  <si>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</si>
  <si>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</si>
  <si>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</si>
  <si>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</si>
  <si>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</si>
  <si>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</si>
  <si>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</si>
  <si>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</si>
  <si>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</si>
  <si>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</si>
  <si>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</si>
  <si>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</si>
  <si>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</si>
  <si>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</si>
  <si>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</si>
  <si>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</si>
  <si>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</si>
  <si>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</si>
  <si>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</si>
  <si>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</si>
  <si>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</si>
  <si>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</si>
  <si>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</si>
  <si>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</si>
  <si>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</si>
  <si>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</si>
  <si>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</si>
  <si>
    <t>LLR_W</t>
  </si>
  <si>
    <t xml:space="preserve">N </t>
  </si>
  <si>
    <t>LABEL_W</t>
  </si>
  <si>
    <t>make</t>
  </si>
  <si>
    <t>RM(16,11)</t>
  </si>
  <si>
    <t>Latency, cycles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</si>
  <si>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MHz</t>
    </r>
  </si>
  <si>
    <t>IS_FSM = 0
LLR_W = 6</t>
  </si>
  <si>
    <t>IS_FSM = 1
LLR_W = 6</t>
  </si>
  <si>
    <t>IS_FSM = 2
LLR_W = 6</t>
  </si>
  <si>
    <t>IS_FSM = 3
LLR_W = 6</t>
  </si>
  <si>
    <t>Задержка, 
такты</t>
  </si>
  <si>
    <t>Длина списка</t>
  </si>
  <si>
    <t>Количество
 используемых LUT</t>
  </si>
  <si>
    <t>Количество
 используемых FF</t>
  </si>
  <si>
    <t>FSM = 0</t>
  </si>
  <si>
    <t>FSM = 1</t>
  </si>
  <si>
    <t>Максимально
 достижимая
 тактовая 
частота, МГц</t>
  </si>
  <si>
    <t>Режим 
работы</t>
  </si>
  <si>
    <t>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</si>
</sst>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8" xfId="0" applyNumberFormat="1" applyFont="1" applyBorder="1" applyAlignment="1">
      <alignment horizontal="center" vertical="center"/>
    </xf>
    <xf numFmtId="164" fontId="1" fillId="0" borderId="59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 wrapText="1"/>
    </xf>
    <xf numFmtId="0" fontId="1" fillId="0" borderId="6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64" fontId="1" fillId="0" borderId="51" xfId="0" applyNumberFormat="1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64" xfId="0" applyFont="1" applyBorder="1" applyAlignment="1">
      <alignment horizontal="center" vertical="center"/>
    </xf>
    <xf numFmtId="164" fontId="1" fillId="0" borderId="49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1" fillId="0" borderId="55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Z143"/>
  <sheetViews>
    <sheetView tabSelected="1" topLeftCell="E70" zoomScale="40" zoomScaleNormal="40" workbookViewId="0">
      <selection activeCell="AT90" sqref="AT90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28" width="13" style="1" customWidth="1"/>
    <col min="29" max="29" width="16.5546875" style="1" customWidth="1"/>
    <col min="30" max="30" width="11" style="1" customWidth="1"/>
    <col min="31" max="31" width="10.77734375" style="1" customWidth="1"/>
    <col min="32" max="32" width="6.77734375" style="1" customWidth="1"/>
    <col min="33" max="33" width="4" style="1" customWidth="1"/>
    <col min="34" max="34" width="3.6640625" style="1" customWidth="1"/>
    <col min="35" max="35" width="7.44140625" style="1" customWidth="1"/>
    <col min="36" max="37" width="16.77734375" style="1" customWidth="1"/>
    <col min="38" max="38" width="14.33203125" style="1" customWidth="1"/>
    <col min="39" max="39" width="9.109375" style="1" customWidth="1"/>
    <col min="40" max="42" width="8.88671875" style="1"/>
    <col min="43" max="44" width="5.77734375" style="1" customWidth="1"/>
    <col min="45" max="45" width="8.88671875" style="1"/>
    <col min="46" max="47" width="19.77734375" style="1" customWidth="1"/>
    <col min="48" max="48" width="14.33203125" style="1" customWidth="1"/>
    <col min="49" max="49" width="10.6640625" style="1" customWidth="1"/>
    <col min="50" max="16384" width="8.88671875" style="1"/>
  </cols>
  <sheetData>
    <row r="1" spans="4:31" x14ac:dyDescent="0.3">
      <c r="D1" s="101" t="s">
        <v>7</v>
      </c>
      <c r="E1" s="101"/>
      <c r="F1" s="101" t="s">
        <v>8</v>
      </c>
      <c r="G1" s="101"/>
      <c r="H1" s="101"/>
      <c r="I1" s="101"/>
    </row>
    <row r="2" spans="4:31" ht="18.600000000000001" thickBot="1" x14ac:dyDescent="0.35"/>
    <row r="3" spans="4:31" x14ac:dyDescent="0.3">
      <c r="H3" s="105" t="s">
        <v>12</v>
      </c>
      <c r="I3" s="106"/>
      <c r="J3" s="106"/>
      <c r="K3" s="106" t="s">
        <v>12</v>
      </c>
      <c r="L3" s="106"/>
      <c r="M3" s="106"/>
      <c r="N3" s="110" t="s">
        <v>14</v>
      </c>
      <c r="O3" s="111"/>
      <c r="P3" s="112"/>
      <c r="Q3" s="107" t="s">
        <v>13</v>
      </c>
      <c r="R3" s="108"/>
      <c r="S3" s="108"/>
      <c r="T3" s="108" t="s">
        <v>17</v>
      </c>
      <c r="U3" s="108"/>
      <c r="V3" s="114"/>
      <c r="W3" s="109" t="s">
        <v>15</v>
      </c>
      <c r="X3" s="108"/>
      <c r="Y3" s="108"/>
      <c r="Z3" s="118" t="s">
        <v>13</v>
      </c>
      <c r="AA3" s="119"/>
      <c r="AB3" s="120"/>
      <c r="AC3" s="118" t="s">
        <v>22</v>
      </c>
      <c r="AD3" s="119"/>
      <c r="AE3" s="120"/>
    </row>
    <row r="4" spans="4:31" ht="18" customHeight="1" x14ac:dyDescent="0.3">
      <c r="D4" s="101" t="s">
        <v>3</v>
      </c>
      <c r="E4" s="101"/>
      <c r="F4" s="101"/>
      <c r="G4" s="102"/>
      <c r="H4" s="103" t="s">
        <v>20</v>
      </c>
      <c r="I4" s="104"/>
      <c r="J4" s="104"/>
      <c r="K4" s="104" t="s">
        <v>21</v>
      </c>
      <c r="L4" s="104"/>
      <c r="M4" s="104"/>
      <c r="N4" s="116" t="s">
        <v>9</v>
      </c>
      <c r="O4" s="97"/>
      <c r="P4" s="117"/>
      <c r="Q4" s="115" t="s">
        <v>10</v>
      </c>
      <c r="R4" s="101"/>
      <c r="S4" s="101"/>
      <c r="T4" s="97" t="s">
        <v>18</v>
      </c>
      <c r="U4" s="97"/>
      <c r="V4" s="67"/>
      <c r="W4" s="128" t="s">
        <v>11</v>
      </c>
      <c r="X4" s="101"/>
      <c r="Y4" s="101"/>
      <c r="Z4" s="121" t="s">
        <v>16</v>
      </c>
      <c r="AA4" s="122"/>
      <c r="AB4" s="123"/>
      <c r="AC4" s="121" t="s">
        <v>23</v>
      </c>
      <c r="AD4" s="122"/>
      <c r="AE4" s="123"/>
    </row>
    <row r="5" spans="4:31" x14ac:dyDescent="0.3">
      <c r="D5" s="101"/>
      <c r="E5" s="101"/>
      <c r="F5" s="101"/>
      <c r="G5" s="102"/>
      <c r="H5" s="103"/>
      <c r="I5" s="104"/>
      <c r="J5" s="104"/>
      <c r="K5" s="104"/>
      <c r="L5" s="104"/>
      <c r="M5" s="104"/>
      <c r="N5" s="116"/>
      <c r="O5" s="97"/>
      <c r="P5" s="117"/>
      <c r="Q5" s="115"/>
      <c r="R5" s="101"/>
      <c r="S5" s="101"/>
      <c r="T5" s="97"/>
      <c r="U5" s="97"/>
      <c r="V5" s="67"/>
      <c r="W5" s="128"/>
      <c r="X5" s="101"/>
      <c r="Y5" s="101"/>
      <c r="Z5" s="124"/>
      <c r="AA5" s="74"/>
      <c r="AB5" s="71"/>
      <c r="AC5" s="124"/>
      <c r="AD5" s="74"/>
      <c r="AE5" s="71"/>
    </row>
    <row r="6" spans="4:31" x14ac:dyDescent="0.3">
      <c r="D6" s="101"/>
      <c r="E6" s="101"/>
      <c r="F6" s="101"/>
      <c r="G6" s="102"/>
      <c r="H6" s="103"/>
      <c r="I6" s="104"/>
      <c r="J6" s="104"/>
      <c r="K6" s="104"/>
      <c r="L6" s="104"/>
      <c r="M6" s="104"/>
      <c r="N6" s="116"/>
      <c r="O6" s="97"/>
      <c r="P6" s="117"/>
      <c r="Q6" s="115"/>
      <c r="R6" s="101"/>
      <c r="S6" s="101"/>
      <c r="T6" s="97"/>
      <c r="U6" s="97"/>
      <c r="V6" s="67"/>
      <c r="W6" s="128"/>
      <c r="X6" s="101"/>
      <c r="Y6" s="101"/>
      <c r="Z6" s="125"/>
      <c r="AA6" s="126"/>
      <c r="AB6" s="127"/>
      <c r="AC6" s="125"/>
      <c r="AD6" s="126"/>
      <c r="AE6" s="127"/>
    </row>
    <row r="7" spans="4:31" ht="20.399999999999999" x14ac:dyDescent="0.3">
      <c r="D7" s="101" t="s">
        <v>4</v>
      </c>
      <c r="E7" s="101"/>
      <c r="F7" s="101" t="s">
        <v>5</v>
      </c>
      <c r="G7" s="102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101">
        <v>8</v>
      </c>
      <c r="E8" s="101"/>
      <c r="F8" s="101">
        <v>8</v>
      </c>
      <c r="G8" s="102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101">
        <v>10</v>
      </c>
      <c r="E9" s="101"/>
      <c r="F9" s="101">
        <v>16</v>
      </c>
      <c r="G9" s="102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101">
        <v>10</v>
      </c>
      <c r="E10" s="101"/>
      <c r="F10" s="101">
        <v>32</v>
      </c>
      <c r="G10" s="102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113" t="s">
        <v>24</v>
      </c>
      <c r="I11" s="113"/>
      <c r="J11" s="113"/>
      <c r="K11" s="113"/>
      <c r="L11" s="113"/>
      <c r="M11" s="113"/>
      <c r="N11" s="113"/>
      <c r="O11" s="113"/>
      <c r="P11" s="113"/>
    </row>
    <row r="12" spans="4:31" ht="23.4" x14ac:dyDescent="0.3">
      <c r="O12" s="19" t="s">
        <v>25</v>
      </c>
    </row>
    <row r="13" spans="4:31" x14ac:dyDescent="0.3">
      <c r="N13" s="74" t="s">
        <v>19</v>
      </c>
      <c r="O13" s="74"/>
      <c r="P13" s="74"/>
    </row>
    <row r="14" spans="4:31" x14ac:dyDescent="0.3">
      <c r="N14" s="74"/>
      <c r="O14" s="74"/>
      <c r="P14" s="74"/>
    </row>
    <row r="15" spans="4:31" x14ac:dyDescent="0.3">
      <c r="N15" s="74"/>
      <c r="O15" s="74"/>
      <c r="P15" s="74"/>
    </row>
    <row r="17" spans="5:36" x14ac:dyDescent="0.3">
      <c r="H17" s="101" t="s">
        <v>26</v>
      </c>
      <c r="I17" s="101"/>
      <c r="J17" s="101"/>
      <c r="K17" s="101" t="s">
        <v>26</v>
      </c>
      <c r="L17" s="101"/>
      <c r="M17" s="101"/>
      <c r="S17"/>
      <c r="T17"/>
      <c r="U17"/>
    </row>
    <row r="18" spans="5:36" x14ac:dyDescent="0.3">
      <c r="H18" s="97" t="s">
        <v>28</v>
      </c>
      <c r="I18" s="97"/>
      <c r="J18" s="97"/>
      <c r="K18" s="97" t="s">
        <v>29</v>
      </c>
      <c r="L18" s="97"/>
      <c r="M18" s="97"/>
      <c r="S18" s="97" t="s">
        <v>32</v>
      </c>
      <c r="T18" s="97"/>
      <c r="U18" s="97"/>
      <c r="AA18" s="97" t="s">
        <v>35</v>
      </c>
      <c r="AB18" s="97"/>
      <c r="AC18" s="97"/>
      <c r="AH18" s="97" t="s">
        <v>36</v>
      </c>
      <c r="AI18" s="97"/>
      <c r="AJ18" s="97"/>
    </row>
    <row r="19" spans="5:36" x14ac:dyDescent="0.3">
      <c r="H19" s="97"/>
      <c r="I19" s="97"/>
      <c r="J19" s="97"/>
      <c r="K19" s="97"/>
      <c r="L19" s="97"/>
      <c r="M19" s="97"/>
      <c r="S19" s="97"/>
      <c r="T19" s="97"/>
      <c r="U19" s="97"/>
      <c r="AA19" s="97"/>
      <c r="AB19" s="97"/>
      <c r="AC19" s="97"/>
      <c r="AH19" s="97"/>
      <c r="AI19" s="97"/>
      <c r="AJ19" s="97"/>
    </row>
    <row r="20" spans="5:36" ht="18" customHeight="1" x14ac:dyDescent="0.3">
      <c r="H20" s="97"/>
      <c r="I20" s="97"/>
      <c r="J20" s="97"/>
      <c r="K20" s="97"/>
      <c r="L20" s="97"/>
      <c r="M20" s="97"/>
      <c r="S20" s="97"/>
      <c r="T20" s="97"/>
      <c r="U20" s="97"/>
      <c r="AA20" s="97"/>
      <c r="AB20" s="97"/>
      <c r="AC20" s="97"/>
      <c r="AH20" s="97"/>
      <c r="AI20" s="97"/>
      <c r="AJ20" s="97"/>
    </row>
    <row r="21" spans="5:36" ht="36" x14ac:dyDescent="0.3">
      <c r="E21" s="97" t="s">
        <v>30</v>
      </c>
      <c r="F21" s="97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97" t="s">
        <v>34</v>
      </c>
      <c r="P21" s="97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97" t="s">
        <v>34</v>
      </c>
      <c r="Y21" s="97"/>
      <c r="Z21" s="2" t="s">
        <v>31</v>
      </c>
      <c r="AA21" s="2" t="s">
        <v>0</v>
      </c>
      <c r="AB21" s="2" t="s">
        <v>1</v>
      </c>
      <c r="AC21" s="2" t="s">
        <v>2</v>
      </c>
      <c r="AE21" s="97" t="s">
        <v>37</v>
      </c>
      <c r="AF21" s="97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97"/>
      <c r="F22" s="97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97"/>
      <c r="P22" s="97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97"/>
      <c r="Y22" s="97"/>
      <c r="Z22" s="2">
        <v>4</v>
      </c>
      <c r="AA22" s="2">
        <v>386</v>
      </c>
      <c r="AB22" s="2">
        <v>365</v>
      </c>
      <c r="AC22" s="2">
        <v>555</v>
      </c>
      <c r="AE22" s="97"/>
      <c r="AF22" s="97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97"/>
      <c r="F23" s="97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97"/>
      <c r="P23" s="97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97"/>
      <c r="Y23" s="97"/>
      <c r="Z23" s="2">
        <v>8</v>
      </c>
      <c r="AA23" s="2">
        <v>983</v>
      </c>
      <c r="AB23" s="2">
        <v>935</v>
      </c>
      <c r="AC23" s="2">
        <v>542</v>
      </c>
      <c r="AE23" s="97"/>
      <c r="AF23" s="97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97"/>
      <c r="F24" s="97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97"/>
      <c r="P24" s="97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97"/>
      <c r="Y24" s="97"/>
      <c r="Z24" s="2">
        <v>16</v>
      </c>
      <c r="AA24" s="2">
        <v>2446</v>
      </c>
      <c r="AB24" s="2">
        <v>2296</v>
      </c>
      <c r="AC24" s="2">
        <v>493</v>
      </c>
      <c r="AE24" s="97"/>
      <c r="AF24" s="97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88" t="s">
        <v>39</v>
      </c>
      <c r="F27" s="89"/>
      <c r="G27" s="89"/>
      <c r="H27" s="89"/>
      <c r="I27" s="89"/>
      <c r="J27" s="89"/>
      <c r="K27" s="89"/>
      <c r="L27" s="89"/>
      <c r="M27" s="89"/>
      <c r="N27" s="90"/>
      <c r="S27" s="88" t="s">
        <v>39</v>
      </c>
      <c r="T27" s="89"/>
      <c r="U27" s="89"/>
      <c r="V27" s="89"/>
      <c r="W27" s="89"/>
      <c r="X27" s="89"/>
      <c r="Y27" s="89"/>
      <c r="Z27" s="89"/>
      <c r="AA27" s="89"/>
      <c r="AB27" s="90"/>
    </row>
    <row r="28" spans="5:36" x14ac:dyDescent="0.3">
      <c r="E28" s="91"/>
      <c r="F28" s="92"/>
      <c r="G28" s="92"/>
      <c r="H28" s="92"/>
      <c r="I28" s="92"/>
      <c r="J28" s="92"/>
      <c r="K28" s="92"/>
      <c r="L28" s="92"/>
      <c r="M28" s="92"/>
      <c r="N28" s="93"/>
      <c r="S28" s="91"/>
      <c r="T28" s="92"/>
      <c r="U28" s="92"/>
      <c r="V28" s="92"/>
      <c r="W28" s="92"/>
      <c r="X28" s="92"/>
      <c r="Y28" s="92"/>
      <c r="Z28" s="92"/>
      <c r="AA28" s="92"/>
      <c r="AB28" s="93"/>
    </row>
    <row r="29" spans="5:36" ht="18.600000000000001" thickBot="1" x14ac:dyDescent="0.35">
      <c r="E29" s="98"/>
      <c r="F29" s="99"/>
      <c r="G29" s="99"/>
      <c r="H29" s="99"/>
      <c r="I29" s="99"/>
      <c r="J29" s="99"/>
      <c r="K29" s="99"/>
      <c r="L29" s="99"/>
      <c r="M29" s="99"/>
      <c r="N29" s="100"/>
      <c r="S29" s="98"/>
      <c r="T29" s="99"/>
      <c r="U29" s="99"/>
      <c r="V29" s="99"/>
      <c r="W29" s="99"/>
      <c r="X29" s="99"/>
      <c r="Y29" s="99"/>
      <c r="Z29" s="99"/>
      <c r="AA29" s="99"/>
      <c r="AB29" s="100"/>
    </row>
    <row r="30" spans="5:36" ht="20.399999999999999" customHeight="1" x14ac:dyDescent="0.3">
      <c r="E30" s="68" t="s">
        <v>44</v>
      </c>
      <c r="F30" s="69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68" t="s">
        <v>44</v>
      </c>
      <c r="T30" s="69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70"/>
      <c r="F31" s="71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70"/>
      <c r="T31" s="71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70"/>
      <c r="F32" s="71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70"/>
      <c r="T32" s="71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1" x14ac:dyDescent="0.3">
      <c r="E33" s="70"/>
      <c r="F33" s="71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70"/>
      <c r="T33" s="71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1" x14ac:dyDescent="0.3">
      <c r="E34" s="70"/>
      <c r="F34" s="71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70"/>
      <c r="T34" s="71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1" x14ac:dyDescent="0.3">
      <c r="E35" s="70"/>
      <c r="F35" s="71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70"/>
      <c r="T35" s="71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1" ht="20.399999999999999" customHeight="1" thickBot="1" x14ac:dyDescent="0.35">
      <c r="E36" s="70"/>
      <c r="F36" s="71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70"/>
      <c r="T36" s="71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1" ht="20.399999999999999" customHeight="1" thickBot="1" x14ac:dyDescent="0.35">
      <c r="E37" s="72"/>
      <c r="F37" s="73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72"/>
      <c r="T37" s="73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86" t="s">
        <v>48</v>
      </c>
      <c r="AD37" s="87"/>
    </row>
    <row r="38" spans="5:31" ht="18" customHeight="1" x14ac:dyDescent="0.3">
      <c r="E38" s="70" t="s">
        <v>47</v>
      </c>
      <c r="F38" s="71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70" t="s">
        <v>47</v>
      </c>
      <c r="T38" s="71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1" x14ac:dyDescent="0.3">
      <c r="E39" s="70"/>
      <c r="F39" s="71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70"/>
      <c r="T39" s="71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1" x14ac:dyDescent="0.3">
      <c r="E40" s="70"/>
      <c r="F40" s="71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70"/>
      <c r="T40" s="71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1" x14ac:dyDescent="0.3">
      <c r="E41" s="70"/>
      <c r="F41" s="71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70"/>
      <c r="T41" s="71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1" x14ac:dyDescent="0.3">
      <c r="E42" s="70"/>
      <c r="F42" s="71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70"/>
      <c r="T42" s="71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1" x14ac:dyDescent="0.3">
      <c r="E43" s="70"/>
      <c r="F43" s="71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70"/>
      <c r="T43" s="71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1" x14ac:dyDescent="0.3">
      <c r="E44" s="70"/>
      <c r="F44" s="71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70"/>
      <c r="T44" s="71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1" ht="18.600000000000001" thickBot="1" x14ac:dyDescent="0.35">
      <c r="E45" s="72"/>
      <c r="F45" s="73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72"/>
      <c r="T45" s="73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1" ht="18.600000000000001" thickBot="1" x14ac:dyDescent="0.35"/>
    <row r="48" spans="5:31" ht="18" customHeight="1" x14ac:dyDescent="0.3">
      <c r="E48" s="88" t="s">
        <v>49</v>
      </c>
      <c r="F48" s="89"/>
      <c r="G48" s="89"/>
      <c r="H48" s="89"/>
      <c r="I48" s="89"/>
      <c r="J48" s="89"/>
      <c r="K48" s="90"/>
      <c r="L48"/>
      <c r="M48"/>
      <c r="N48" s="88" t="s">
        <v>51</v>
      </c>
      <c r="O48" s="89"/>
      <c r="P48" s="89"/>
      <c r="Q48" s="89"/>
      <c r="R48" s="89"/>
      <c r="S48" s="89"/>
      <c r="T48" s="90"/>
      <c r="W48" s="76" t="s">
        <v>57</v>
      </c>
      <c r="X48" s="77"/>
      <c r="Y48" s="77"/>
      <c r="Z48" s="77"/>
      <c r="AA48" s="77"/>
      <c r="AB48" s="77"/>
      <c r="AC48" s="77"/>
      <c r="AD48" s="77"/>
      <c r="AE48" s="78"/>
    </row>
    <row r="49" spans="5:52" ht="18" customHeight="1" x14ac:dyDescent="0.3">
      <c r="E49" s="91"/>
      <c r="F49" s="92"/>
      <c r="G49" s="92"/>
      <c r="H49" s="92"/>
      <c r="I49" s="92"/>
      <c r="J49" s="92"/>
      <c r="K49" s="93"/>
      <c r="L49"/>
      <c r="M49"/>
      <c r="N49" s="91"/>
      <c r="O49" s="92"/>
      <c r="P49" s="92"/>
      <c r="Q49" s="92"/>
      <c r="R49" s="92"/>
      <c r="S49" s="92"/>
      <c r="T49" s="93"/>
      <c r="W49" s="79"/>
      <c r="X49" s="80"/>
      <c r="Y49" s="80"/>
      <c r="Z49" s="80"/>
      <c r="AA49" s="80"/>
      <c r="AB49" s="80"/>
      <c r="AC49" s="80"/>
      <c r="AD49" s="80"/>
      <c r="AE49" s="81"/>
    </row>
    <row r="50" spans="5:52" ht="18.600000000000001" customHeight="1" thickBot="1" x14ac:dyDescent="0.35">
      <c r="E50" s="94"/>
      <c r="F50" s="95"/>
      <c r="G50" s="95"/>
      <c r="H50" s="95"/>
      <c r="I50" s="95"/>
      <c r="J50" s="95"/>
      <c r="K50" s="96"/>
      <c r="L50"/>
      <c r="M50"/>
      <c r="N50" s="94"/>
      <c r="O50" s="95"/>
      <c r="P50" s="95"/>
      <c r="Q50" s="95"/>
      <c r="R50" s="95"/>
      <c r="S50" s="95"/>
      <c r="T50" s="96"/>
      <c r="W50" s="82"/>
      <c r="X50" s="83"/>
      <c r="Y50" s="83"/>
      <c r="Z50" s="83"/>
      <c r="AA50" s="83"/>
      <c r="AB50" s="83"/>
      <c r="AC50" s="83"/>
      <c r="AD50" s="83"/>
      <c r="AE50" s="84"/>
    </row>
    <row r="51" spans="5:52" ht="20.399999999999999" customHeight="1" thickBot="1" x14ac:dyDescent="0.35">
      <c r="E51" s="68" t="s">
        <v>34</v>
      </c>
      <c r="F51" s="69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68" t="s">
        <v>52</v>
      </c>
      <c r="O51" s="69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  <c r="W51" s="68" t="s">
        <v>52</v>
      </c>
      <c r="X51" s="69"/>
      <c r="Y51" s="32" t="s">
        <v>54</v>
      </c>
      <c r="Z51" s="33" t="s">
        <v>42</v>
      </c>
      <c r="AA51" s="33" t="s">
        <v>55</v>
      </c>
      <c r="AB51" s="33" t="s">
        <v>56</v>
      </c>
      <c r="AC51" s="33" t="s">
        <v>0</v>
      </c>
      <c r="AD51" s="33" t="s">
        <v>1</v>
      </c>
      <c r="AE51" s="34" t="s">
        <v>2</v>
      </c>
    </row>
    <row r="52" spans="5:52" x14ac:dyDescent="0.3">
      <c r="E52" s="70"/>
      <c r="F52" s="71"/>
      <c r="G52" s="35">
        <v>2</v>
      </c>
      <c r="H52" s="27">
        <v>4</v>
      </c>
      <c r="I52" s="27">
        <v>1616</v>
      </c>
      <c r="J52" s="27">
        <v>2121</v>
      </c>
      <c r="K52" s="28">
        <v>512</v>
      </c>
      <c r="N52" s="70"/>
      <c r="O52" s="71"/>
      <c r="P52" s="35">
        <v>2</v>
      </c>
      <c r="Q52" s="27">
        <v>4</v>
      </c>
      <c r="R52" s="27">
        <v>124</v>
      </c>
      <c r="S52" s="27">
        <v>113</v>
      </c>
      <c r="T52" s="28">
        <v>578</v>
      </c>
      <c r="W52" s="70"/>
      <c r="X52" s="71"/>
      <c r="Y52" s="35">
        <v>6</v>
      </c>
      <c r="Z52" s="27">
        <v>4</v>
      </c>
      <c r="AA52" s="27">
        <v>2</v>
      </c>
      <c r="AB52" s="27">
        <v>4</v>
      </c>
      <c r="AC52" s="27">
        <v>264</v>
      </c>
      <c r="AD52" s="27">
        <v>317</v>
      </c>
      <c r="AE52" s="28">
        <v>672</v>
      </c>
    </row>
    <row r="53" spans="5:52" x14ac:dyDescent="0.3">
      <c r="E53" s="70"/>
      <c r="F53" s="71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70"/>
      <c r="O53" s="71"/>
      <c r="P53" s="4">
        <v>2</v>
      </c>
      <c r="Q53" s="2">
        <v>8</v>
      </c>
      <c r="R53" s="2">
        <v>257</v>
      </c>
      <c r="S53" s="2">
        <v>226</v>
      </c>
      <c r="T53" s="5">
        <v>587</v>
      </c>
      <c r="W53" s="70"/>
      <c r="X53" s="71"/>
      <c r="Y53" s="4">
        <v>6</v>
      </c>
      <c r="Z53" s="2">
        <v>8</v>
      </c>
      <c r="AA53" s="2">
        <v>2</v>
      </c>
      <c r="AB53" s="2">
        <v>4</v>
      </c>
      <c r="AC53" s="2">
        <v>497</v>
      </c>
      <c r="AD53" s="2">
        <v>562</v>
      </c>
      <c r="AE53" s="5">
        <v>669</v>
      </c>
    </row>
    <row r="54" spans="5:52" x14ac:dyDescent="0.3">
      <c r="E54" s="70"/>
      <c r="F54" s="71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70"/>
      <c r="O54" s="71"/>
      <c r="P54" s="29">
        <v>4</v>
      </c>
      <c r="Q54" s="2">
        <v>4</v>
      </c>
      <c r="R54" s="2">
        <v>663</v>
      </c>
      <c r="S54" s="2">
        <v>453</v>
      </c>
      <c r="T54" s="5">
        <v>327</v>
      </c>
      <c r="W54" s="70"/>
      <c r="X54" s="71"/>
      <c r="Y54" s="29">
        <v>8</v>
      </c>
      <c r="Z54" s="2">
        <v>4</v>
      </c>
      <c r="AA54" s="2">
        <v>2</v>
      </c>
      <c r="AB54" s="2">
        <v>4</v>
      </c>
      <c r="AC54" s="2">
        <v>348</v>
      </c>
      <c r="AD54" s="2">
        <v>404</v>
      </c>
      <c r="AE54" s="5">
        <v>651</v>
      </c>
    </row>
    <row r="55" spans="5:52" x14ac:dyDescent="0.3">
      <c r="E55" s="70"/>
      <c r="F55" s="71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70"/>
      <c r="O55" s="71"/>
      <c r="P55" s="29">
        <v>4</v>
      </c>
      <c r="Q55" s="2">
        <v>8</v>
      </c>
      <c r="R55" s="2">
        <v>1365</v>
      </c>
      <c r="S55" s="2">
        <v>900</v>
      </c>
      <c r="T55" s="5">
        <v>314</v>
      </c>
      <c r="W55" s="70"/>
      <c r="X55" s="71"/>
      <c r="Y55" s="29">
        <v>8</v>
      </c>
      <c r="Z55" s="2">
        <v>8</v>
      </c>
      <c r="AA55" s="2">
        <v>2</v>
      </c>
      <c r="AB55" s="2">
        <v>4</v>
      </c>
      <c r="AC55" s="2">
        <v>651</v>
      </c>
      <c r="AD55" s="2">
        <v>713</v>
      </c>
      <c r="AE55" s="5">
        <v>628</v>
      </c>
    </row>
    <row r="56" spans="5:52" ht="18.600000000000001" thickBot="1" x14ac:dyDescent="0.35">
      <c r="E56" s="70"/>
      <c r="F56" s="71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70"/>
      <c r="O56" s="71"/>
      <c r="P56" s="29">
        <v>8</v>
      </c>
      <c r="Q56" s="2">
        <v>4</v>
      </c>
      <c r="R56" s="2">
        <v>3092</v>
      </c>
      <c r="S56" s="2">
        <v>2690</v>
      </c>
      <c r="T56" s="5">
        <v>543</v>
      </c>
      <c r="W56" s="72"/>
      <c r="X56" s="73"/>
      <c r="Y56" s="30">
        <v>8</v>
      </c>
      <c r="Z56" s="7">
        <v>8</v>
      </c>
      <c r="AA56" s="7">
        <v>4</v>
      </c>
      <c r="AB56" s="7">
        <v>8</v>
      </c>
      <c r="AC56" s="7">
        <v>3225</v>
      </c>
      <c r="AD56" s="7">
        <v>3064</v>
      </c>
      <c r="AE56" s="8">
        <v>313</v>
      </c>
    </row>
    <row r="57" spans="5:52" ht="18.600000000000001" thickBot="1" x14ac:dyDescent="0.35">
      <c r="E57" s="72"/>
      <c r="F57" s="73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72"/>
      <c r="O57" s="73"/>
      <c r="P57" s="30">
        <v>8</v>
      </c>
      <c r="Q57" s="7">
        <v>8</v>
      </c>
      <c r="R57" s="7">
        <v>6239</v>
      </c>
      <c r="S57" s="7">
        <v>5378</v>
      </c>
      <c r="T57" s="8">
        <v>398</v>
      </c>
      <c r="W57"/>
      <c r="X57"/>
      <c r="Y57"/>
      <c r="Z57"/>
      <c r="AA57"/>
      <c r="AB57"/>
      <c r="AC57"/>
      <c r="AD57"/>
      <c r="AE57"/>
    </row>
    <row r="58" spans="5:52" ht="21" customHeight="1" thickBot="1" x14ac:dyDescent="0.35">
      <c r="E58" s="68" t="s">
        <v>50</v>
      </c>
      <c r="F58" s="69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68" t="s">
        <v>53</v>
      </c>
      <c r="O58" s="69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52" ht="18.600000000000001" thickBot="1" x14ac:dyDescent="0.35">
      <c r="E59" s="70"/>
      <c r="F59" s="71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70"/>
      <c r="O59" s="71"/>
      <c r="P59" s="35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52" ht="18" customHeight="1" x14ac:dyDescent="0.3">
      <c r="E60" s="70"/>
      <c r="F60" s="71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70"/>
      <c r="O60" s="71"/>
      <c r="P60" s="4">
        <v>2</v>
      </c>
      <c r="Q60" s="2">
        <v>8</v>
      </c>
      <c r="R60" s="2">
        <v>313</v>
      </c>
      <c r="S60" s="2">
        <v>289</v>
      </c>
      <c r="T60" s="5">
        <v>605</v>
      </c>
      <c r="W60" s="76" t="s">
        <v>58</v>
      </c>
      <c r="X60" s="77"/>
      <c r="Y60" s="77"/>
      <c r="Z60" s="77"/>
      <c r="AA60" s="77"/>
      <c r="AB60" s="77"/>
      <c r="AC60" s="78"/>
      <c r="AD60"/>
      <c r="AE60"/>
      <c r="AG60"/>
      <c r="AH60"/>
      <c r="AI60"/>
      <c r="AJ60"/>
      <c r="AK60"/>
      <c r="AL60"/>
      <c r="AM60"/>
      <c r="AN60"/>
      <c r="AO60"/>
    </row>
    <row r="61" spans="5:52" ht="21" customHeight="1" x14ac:dyDescent="0.3">
      <c r="E61" s="70"/>
      <c r="F61" s="71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70"/>
      <c r="O61" s="71"/>
      <c r="P61" s="29">
        <v>4</v>
      </c>
      <c r="Q61" s="2">
        <v>4</v>
      </c>
      <c r="R61" s="2">
        <v>797</v>
      </c>
      <c r="S61" s="2">
        <v>586</v>
      </c>
      <c r="T61" s="5">
        <v>322</v>
      </c>
      <c r="W61" s="79"/>
      <c r="X61" s="80"/>
      <c r="Y61" s="80"/>
      <c r="Z61" s="80"/>
      <c r="AA61" s="80"/>
      <c r="AB61" s="80"/>
      <c r="AC61" s="81"/>
      <c r="AD61"/>
      <c r="AE61"/>
      <c r="AG61"/>
      <c r="AH61"/>
      <c r="AI61"/>
      <c r="AJ61"/>
      <c r="AK61"/>
      <c r="AL61"/>
      <c r="AM61"/>
      <c r="AN61"/>
      <c r="AO61"/>
    </row>
    <row r="62" spans="5:52" ht="18.600000000000001" customHeight="1" thickBot="1" x14ac:dyDescent="0.35">
      <c r="E62" s="70"/>
      <c r="F62" s="71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70"/>
      <c r="O62" s="71"/>
      <c r="P62" s="29">
        <v>4</v>
      </c>
      <c r="Q62" s="2">
        <v>8</v>
      </c>
      <c r="R62" s="2">
        <v>1683</v>
      </c>
      <c r="S62" s="2">
        <v>1158</v>
      </c>
      <c r="T62" s="5">
        <v>318</v>
      </c>
      <c r="W62" s="82"/>
      <c r="X62" s="83"/>
      <c r="Y62" s="83"/>
      <c r="Z62" s="83"/>
      <c r="AA62" s="83"/>
      <c r="AB62" s="83"/>
      <c r="AC62" s="84"/>
      <c r="AD62"/>
      <c r="AE62"/>
      <c r="AG62"/>
      <c r="AH62"/>
      <c r="AI62"/>
      <c r="AJ62"/>
      <c r="AK62"/>
      <c r="AL62"/>
      <c r="AM62"/>
      <c r="AN62"/>
      <c r="AO62"/>
    </row>
    <row r="63" spans="5:52" ht="21" customHeight="1" thickBot="1" x14ac:dyDescent="0.35">
      <c r="E63" s="70"/>
      <c r="F63" s="71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70"/>
      <c r="O63" s="71"/>
      <c r="P63" s="29">
        <v>8</v>
      </c>
      <c r="Q63" s="2">
        <v>4</v>
      </c>
      <c r="R63" s="2">
        <v>3845</v>
      </c>
      <c r="S63" s="2">
        <v>3460</v>
      </c>
      <c r="T63" s="5">
        <v>510</v>
      </c>
      <c r="W63" s="68" t="s">
        <v>61</v>
      </c>
      <c r="X63" s="85"/>
      <c r="Y63" s="32" t="s">
        <v>33</v>
      </c>
      <c r="Z63" s="33" t="s">
        <v>0</v>
      </c>
      <c r="AA63" s="33" t="s">
        <v>1</v>
      </c>
      <c r="AB63" s="38" t="s">
        <v>60</v>
      </c>
      <c r="AC63" s="34" t="s">
        <v>59</v>
      </c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5:52" ht="18.600000000000001" thickBot="1" x14ac:dyDescent="0.35">
      <c r="E64" s="72"/>
      <c r="F64" s="73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72"/>
      <c r="O64" s="73"/>
      <c r="P64" s="30">
        <v>8</v>
      </c>
      <c r="Q64" s="7">
        <v>8</v>
      </c>
      <c r="R64" s="7">
        <v>7781</v>
      </c>
      <c r="S64" s="7">
        <v>6925</v>
      </c>
      <c r="T64" s="8">
        <v>409</v>
      </c>
      <c r="W64" s="70"/>
      <c r="X64" s="74"/>
      <c r="Y64" s="21">
        <v>2</v>
      </c>
      <c r="Z64" s="20">
        <v>18809</v>
      </c>
      <c r="AA64" s="20">
        <v>17887</v>
      </c>
      <c r="AB64" s="37">
        <v>417</v>
      </c>
      <c r="AC64" s="22">
        <v>25</v>
      </c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3:52" x14ac:dyDescent="0.3">
      <c r="W65" s="70"/>
      <c r="X65" s="74"/>
      <c r="Y65" s="4">
        <v>3</v>
      </c>
      <c r="Z65" s="2">
        <v>23475</v>
      </c>
      <c r="AA65" s="2">
        <v>34593</v>
      </c>
      <c r="AB65" s="2">
        <v>316</v>
      </c>
      <c r="AC65" s="5">
        <v>31</v>
      </c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3:52" x14ac:dyDescent="0.3">
      <c r="W66" s="70"/>
      <c r="X66" s="74"/>
      <c r="Y66" s="4">
        <v>4</v>
      </c>
      <c r="Z66" s="2">
        <v>30121</v>
      </c>
      <c r="AA66" s="2">
        <v>40791</v>
      </c>
      <c r="AB66" s="36">
        <v>315</v>
      </c>
      <c r="AC66" s="5">
        <v>31</v>
      </c>
      <c r="AE66" s="4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3:52" x14ac:dyDescent="0.3">
      <c r="W67" s="70"/>
      <c r="X67" s="74"/>
      <c r="Y67" s="29">
        <v>5</v>
      </c>
      <c r="Z67" s="2">
        <v>28924</v>
      </c>
      <c r="AA67" s="2">
        <v>41929</v>
      </c>
      <c r="AB67" s="36">
        <v>333</v>
      </c>
      <c r="AC67" s="5">
        <v>40</v>
      </c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3:52" ht="18.600000000000001" customHeight="1" x14ac:dyDescent="0.3">
      <c r="W68" s="70"/>
      <c r="X68" s="74"/>
      <c r="Y68" s="39">
        <v>8</v>
      </c>
      <c r="Z68" s="40">
        <v>34898</v>
      </c>
      <c r="AA68" s="40">
        <v>50339</v>
      </c>
      <c r="AB68" s="41">
        <v>329</v>
      </c>
      <c r="AC68" s="42">
        <v>44</v>
      </c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3:52" ht="21" customHeight="1" thickBot="1" x14ac:dyDescent="0.35">
      <c r="W69" s="72"/>
      <c r="X69" s="75"/>
      <c r="Y69" s="30">
        <v>16</v>
      </c>
      <c r="Z69" s="7">
        <v>56858</v>
      </c>
      <c r="AA69" s="7">
        <v>74664</v>
      </c>
      <c r="AB69" s="7">
        <v>319</v>
      </c>
      <c r="AC69" s="8">
        <v>44</v>
      </c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3:52" ht="21" customHeight="1" thickBot="1" x14ac:dyDescent="0.35">
      <c r="W70" s="68" t="s">
        <v>62</v>
      </c>
      <c r="X70" s="69"/>
      <c r="Y70" s="32" t="s">
        <v>33</v>
      </c>
      <c r="Z70" s="33" t="s">
        <v>0</v>
      </c>
      <c r="AA70" s="33" t="s">
        <v>1</v>
      </c>
      <c r="AB70" s="38" t="s">
        <v>2</v>
      </c>
      <c r="AC70" s="38" t="s">
        <v>59</v>
      </c>
      <c r="AD70" s="57" t="s">
        <v>45</v>
      </c>
      <c r="AE70" s="34" t="s">
        <v>46</v>
      </c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3:52" x14ac:dyDescent="0.3">
      <c r="W71" s="70"/>
      <c r="X71" s="71"/>
      <c r="Y71" s="35">
        <v>2</v>
      </c>
      <c r="Z71" s="27">
        <v>11686</v>
      </c>
      <c r="AA71" s="27">
        <v>15405</v>
      </c>
      <c r="AB71" s="51">
        <v>416</v>
      </c>
      <c r="AC71" s="51">
        <f>AC64+4</f>
        <v>29</v>
      </c>
      <c r="AD71" s="59">
        <f t="shared" ref="AD71:AE76" si="4">(Z71-Z64)/Z64*100</f>
        <v>-37.870168536338987</v>
      </c>
      <c r="AE71" s="56">
        <f t="shared" si="4"/>
        <v>-13.875999329121708</v>
      </c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3:52" x14ac:dyDescent="0.3">
      <c r="W72" s="70"/>
      <c r="X72" s="71"/>
      <c r="Y72" s="4">
        <v>3</v>
      </c>
      <c r="Z72" s="2">
        <v>16231</v>
      </c>
      <c r="AA72" s="2">
        <v>23365</v>
      </c>
      <c r="AB72" s="2">
        <v>319</v>
      </c>
      <c r="AC72" s="36">
        <f t="shared" ref="AC72:AC76" si="5">AC65+4</f>
        <v>35</v>
      </c>
      <c r="AD72" s="47">
        <f t="shared" si="4"/>
        <v>-30.858359957401493</v>
      </c>
      <c r="AE72" s="48">
        <f t="shared" si="4"/>
        <v>-32.457433584829296</v>
      </c>
      <c r="AG72"/>
      <c r="AH72"/>
      <c r="AI72"/>
      <c r="AJ72"/>
      <c r="AK72"/>
      <c r="AL72"/>
      <c r="AM72"/>
      <c r="AN72"/>
      <c r="AO72"/>
    </row>
    <row r="73" spans="23:52" x14ac:dyDescent="0.3">
      <c r="W73" s="70"/>
      <c r="X73" s="71"/>
      <c r="Y73" s="4">
        <v>4</v>
      </c>
      <c r="Z73" s="2">
        <v>22621</v>
      </c>
      <c r="AA73" s="2">
        <v>30443</v>
      </c>
      <c r="AB73" s="36">
        <v>308</v>
      </c>
      <c r="AC73" s="36">
        <f t="shared" si="5"/>
        <v>35</v>
      </c>
      <c r="AD73" s="47">
        <f t="shared" si="4"/>
        <v>-24.89957172736629</v>
      </c>
      <c r="AE73" s="48">
        <f t="shared" si="4"/>
        <v>-25.368341055625017</v>
      </c>
      <c r="AG73"/>
      <c r="AH73"/>
      <c r="AI73"/>
      <c r="AJ73"/>
      <c r="AK73"/>
      <c r="AL73"/>
      <c r="AM73"/>
      <c r="AN73"/>
      <c r="AO73"/>
    </row>
    <row r="74" spans="23:52" x14ac:dyDescent="0.3">
      <c r="W74" s="70"/>
      <c r="X74" s="71"/>
      <c r="Y74" s="29">
        <v>5</v>
      </c>
      <c r="Z74" s="2">
        <v>21721</v>
      </c>
      <c r="AA74" s="2">
        <v>30841</v>
      </c>
      <c r="AB74" s="36">
        <v>394</v>
      </c>
      <c r="AC74" s="36">
        <f t="shared" si="5"/>
        <v>44</v>
      </c>
      <c r="AD74" s="47">
        <f t="shared" si="4"/>
        <v>-24.903194578896418</v>
      </c>
      <c r="AE74" s="48">
        <f t="shared" si="4"/>
        <v>-26.444704142717452</v>
      </c>
      <c r="AG74"/>
      <c r="AH74"/>
      <c r="AI74"/>
      <c r="AJ74"/>
      <c r="AK74"/>
      <c r="AL74"/>
      <c r="AM74"/>
      <c r="AN74"/>
      <c r="AO74"/>
    </row>
    <row r="75" spans="23:52" x14ac:dyDescent="0.3">
      <c r="W75" s="70"/>
      <c r="X75" s="71"/>
      <c r="Y75" s="29">
        <v>8</v>
      </c>
      <c r="Z75" s="2">
        <v>29589</v>
      </c>
      <c r="AA75" s="2">
        <v>39360</v>
      </c>
      <c r="AB75" s="36">
        <v>373</v>
      </c>
      <c r="AC75" s="36">
        <f t="shared" si="5"/>
        <v>48</v>
      </c>
      <c r="AD75" s="47">
        <f t="shared" si="4"/>
        <v>-15.212906183735459</v>
      </c>
      <c r="AE75" s="48">
        <f t="shared" si="4"/>
        <v>-21.810127336657462</v>
      </c>
      <c r="AG75"/>
      <c r="AH75"/>
      <c r="AI75"/>
      <c r="AJ75"/>
      <c r="AK75"/>
      <c r="AL75"/>
      <c r="AM75"/>
      <c r="AN75"/>
      <c r="AO75"/>
    </row>
    <row r="76" spans="23:52" ht="18.600000000000001" thickBot="1" x14ac:dyDescent="0.35">
      <c r="W76" s="72"/>
      <c r="X76" s="73"/>
      <c r="Y76" s="52">
        <v>16</v>
      </c>
      <c r="Z76" s="53">
        <v>51724</v>
      </c>
      <c r="AA76" s="53">
        <v>64443</v>
      </c>
      <c r="AB76" s="54">
        <v>358</v>
      </c>
      <c r="AC76" s="41">
        <f t="shared" si="5"/>
        <v>48</v>
      </c>
      <c r="AD76" s="49">
        <f t="shared" si="4"/>
        <v>-9.0295121179077711</v>
      </c>
      <c r="AE76" s="50">
        <f t="shared" si="4"/>
        <v>-13.68932819029251</v>
      </c>
      <c r="AG76"/>
      <c r="AH76"/>
      <c r="AI76"/>
      <c r="AJ76"/>
      <c r="AK76"/>
      <c r="AL76"/>
      <c r="AM76"/>
      <c r="AN76"/>
      <c r="AO76"/>
    </row>
    <row r="77" spans="23:52" ht="21" thickBot="1" x14ac:dyDescent="0.35">
      <c r="W77" s="68" t="s">
        <v>63</v>
      </c>
      <c r="X77" s="69"/>
      <c r="Y77" s="32" t="s">
        <v>33</v>
      </c>
      <c r="Z77" s="33" t="s">
        <v>0</v>
      </c>
      <c r="AA77" s="33" t="s">
        <v>1</v>
      </c>
      <c r="AB77" s="38" t="s">
        <v>2</v>
      </c>
      <c r="AC77" s="38" t="s">
        <v>59</v>
      </c>
      <c r="AD77" s="57" t="s">
        <v>45</v>
      </c>
      <c r="AE77" s="34" t="s">
        <v>46</v>
      </c>
      <c r="AG77"/>
      <c r="AH77"/>
      <c r="AI77"/>
      <c r="AJ77"/>
      <c r="AK77"/>
      <c r="AL77"/>
      <c r="AM77"/>
      <c r="AN77"/>
      <c r="AO77"/>
    </row>
    <row r="78" spans="23:52" x14ac:dyDescent="0.3">
      <c r="W78" s="70"/>
      <c r="X78" s="71"/>
      <c r="Y78" s="35">
        <v>2</v>
      </c>
      <c r="Z78" s="27">
        <v>5558</v>
      </c>
      <c r="AA78" s="27">
        <v>7893</v>
      </c>
      <c r="AB78" s="51">
        <v>493</v>
      </c>
      <c r="AC78" s="51">
        <f>AC64+17</f>
        <v>42</v>
      </c>
      <c r="AD78" s="59">
        <f>-(Z64-Z78)/Z64*100</f>
        <v>-70.45031633792334</v>
      </c>
      <c r="AE78" s="56">
        <f>(AA78-AA64)/AA64*100</f>
        <v>-55.872980376809977</v>
      </c>
      <c r="AG78"/>
      <c r="AH78"/>
      <c r="AI78"/>
      <c r="AJ78"/>
      <c r="AK78"/>
      <c r="AL78"/>
      <c r="AM78"/>
      <c r="AN78"/>
      <c r="AO78"/>
    </row>
    <row r="79" spans="23:52" x14ac:dyDescent="0.3">
      <c r="W79" s="70"/>
      <c r="X79" s="71"/>
      <c r="Y79" s="4">
        <v>3</v>
      </c>
      <c r="Z79" s="2">
        <v>6785</v>
      </c>
      <c r="AA79" s="2">
        <v>10703</v>
      </c>
      <c r="AB79" s="2">
        <v>321</v>
      </c>
      <c r="AC79" s="36">
        <f t="shared" ref="AC79:AC83" si="6">AC65+17</f>
        <v>48</v>
      </c>
      <c r="AD79" s="47">
        <f t="shared" ref="AD79:AD81" si="7">-(Z65-Z79)/Z65*100</f>
        <v>-71.09691160809372</v>
      </c>
      <c r="AE79" s="48">
        <f t="shared" ref="AE79:AE81" si="8">(AA79-AA65)/AA65*100</f>
        <v>-69.060214494261842</v>
      </c>
      <c r="AG79"/>
      <c r="AH79"/>
      <c r="AI79"/>
      <c r="AJ79"/>
      <c r="AK79"/>
      <c r="AL79"/>
      <c r="AM79"/>
      <c r="AN79"/>
      <c r="AO79"/>
    </row>
    <row r="80" spans="23:52" x14ac:dyDescent="0.3">
      <c r="W80" s="70"/>
      <c r="X80" s="71"/>
      <c r="Y80" s="4">
        <v>4</v>
      </c>
      <c r="Z80" s="2">
        <v>8570</v>
      </c>
      <c r="AA80" s="2">
        <v>13163</v>
      </c>
      <c r="AB80" s="36">
        <v>325</v>
      </c>
      <c r="AC80" s="36">
        <f t="shared" si="6"/>
        <v>48</v>
      </c>
      <c r="AD80" s="47">
        <f t="shared" si="7"/>
        <v>-71.54808937286279</v>
      </c>
      <c r="AE80" s="48">
        <f>(AA80-AA66)/AA66*100</f>
        <v>-67.730626853962889</v>
      </c>
      <c r="AG80"/>
      <c r="AH80"/>
      <c r="AI80"/>
      <c r="AJ80"/>
      <c r="AK80"/>
      <c r="AL80"/>
      <c r="AM80"/>
      <c r="AN80"/>
      <c r="AO80"/>
    </row>
    <row r="81" spans="23:41" x14ac:dyDescent="0.3">
      <c r="W81" s="70"/>
      <c r="X81" s="71"/>
      <c r="Y81" s="29">
        <v>5</v>
      </c>
      <c r="Z81" s="2">
        <v>9809</v>
      </c>
      <c r="AA81" s="2">
        <v>14525</v>
      </c>
      <c r="AB81" s="36">
        <v>427</v>
      </c>
      <c r="AC81" s="36">
        <f t="shared" si="6"/>
        <v>57</v>
      </c>
      <c r="AD81" s="47">
        <f t="shared" si="7"/>
        <v>-66.086986585534504</v>
      </c>
      <c r="AE81" s="48">
        <f t="shared" si="8"/>
        <v>-65.358105368599297</v>
      </c>
      <c r="AG81"/>
      <c r="AH81"/>
      <c r="AI81"/>
      <c r="AJ81"/>
      <c r="AK81"/>
      <c r="AL81"/>
      <c r="AM81"/>
      <c r="AN81"/>
      <c r="AO81"/>
    </row>
    <row r="82" spans="23:41" ht="21" customHeight="1" x14ac:dyDescent="0.3">
      <c r="W82" s="70"/>
      <c r="X82" s="71"/>
      <c r="Y82" s="29">
        <v>8</v>
      </c>
      <c r="Z82" s="2">
        <v>12666</v>
      </c>
      <c r="AA82" s="2">
        <v>18231</v>
      </c>
      <c r="AB82" s="36">
        <v>422</v>
      </c>
      <c r="AC82" s="36">
        <f t="shared" si="6"/>
        <v>61</v>
      </c>
      <c r="AD82" s="47">
        <f>-(Z68-Z82)/Z68*100</f>
        <v>-63.705656484612291</v>
      </c>
      <c r="AE82" s="48">
        <f>(AA82-AA68)/AA68*100</f>
        <v>-63.783547547627087</v>
      </c>
      <c r="AG82"/>
      <c r="AH82"/>
      <c r="AI82"/>
      <c r="AJ82"/>
      <c r="AK82"/>
      <c r="AL82"/>
      <c r="AM82"/>
      <c r="AN82"/>
      <c r="AO82"/>
    </row>
    <row r="83" spans="23:41" ht="18.600000000000001" thickBot="1" x14ac:dyDescent="0.35">
      <c r="W83" s="72"/>
      <c r="X83" s="73"/>
      <c r="Y83" s="43">
        <v>16</v>
      </c>
      <c r="Z83" s="44">
        <v>23586</v>
      </c>
      <c r="AA83" s="44">
        <v>31800</v>
      </c>
      <c r="AB83" s="45">
        <v>361</v>
      </c>
      <c r="AC83" s="58">
        <f t="shared" si="6"/>
        <v>61</v>
      </c>
      <c r="AD83" s="60">
        <f>-(Z69-Z83)/Z69*100</f>
        <v>-58.517710788279572</v>
      </c>
      <c r="AE83" s="55">
        <f>(AA83-AA69)/AA69*100</f>
        <v>-57.409193185470912</v>
      </c>
      <c r="AG83"/>
      <c r="AH83"/>
      <c r="AI83"/>
      <c r="AJ83"/>
      <c r="AK83"/>
      <c r="AL83"/>
      <c r="AM83"/>
      <c r="AN83"/>
      <c r="AO83"/>
    </row>
    <row r="84" spans="23:41" ht="21" thickBot="1" x14ac:dyDescent="0.35">
      <c r="W84" s="68" t="s">
        <v>64</v>
      </c>
      <c r="X84" s="69"/>
      <c r="Y84" s="32" t="s">
        <v>33</v>
      </c>
      <c r="Z84" s="33" t="s">
        <v>0</v>
      </c>
      <c r="AA84" s="33" t="s">
        <v>1</v>
      </c>
      <c r="AB84" s="38" t="s">
        <v>2</v>
      </c>
      <c r="AC84" s="38" t="s">
        <v>59</v>
      </c>
      <c r="AD84" s="57" t="s">
        <v>45</v>
      </c>
      <c r="AE84" s="34" t="s">
        <v>46</v>
      </c>
      <c r="AG84"/>
      <c r="AH84"/>
      <c r="AI84"/>
      <c r="AJ84"/>
      <c r="AK84"/>
      <c r="AL84"/>
      <c r="AM84"/>
      <c r="AN84"/>
      <c r="AO84"/>
    </row>
    <row r="85" spans="23:41" x14ac:dyDescent="0.3">
      <c r="W85" s="70"/>
      <c r="X85" s="71"/>
      <c r="Y85" s="35">
        <v>2</v>
      </c>
      <c r="Z85" s="27">
        <v>5301</v>
      </c>
      <c r="AA85" s="27">
        <v>7205</v>
      </c>
      <c r="AB85" s="51">
        <v>470</v>
      </c>
      <c r="AC85" s="51">
        <v>42</v>
      </c>
      <c r="AD85" s="59">
        <f>-(Z64-Z85)/Z64*100</f>
        <v>-71.816683502578542</v>
      </c>
      <c r="AE85" s="56">
        <f>(AA85-AA64)/AA64*100</f>
        <v>-59.719349248057249</v>
      </c>
      <c r="AG85"/>
      <c r="AH85"/>
      <c r="AI85"/>
      <c r="AJ85"/>
      <c r="AK85"/>
      <c r="AL85"/>
      <c r="AM85"/>
      <c r="AN85"/>
      <c r="AO85"/>
    </row>
    <row r="86" spans="23:41" ht="21" customHeight="1" x14ac:dyDescent="0.3">
      <c r="W86" s="70"/>
      <c r="X86" s="71"/>
      <c r="Y86" s="4">
        <v>3</v>
      </c>
      <c r="Z86" s="2">
        <v>6123</v>
      </c>
      <c r="AA86" s="2">
        <v>9599</v>
      </c>
      <c r="AB86" s="2">
        <v>321</v>
      </c>
      <c r="AC86" s="36"/>
      <c r="AD86" s="59">
        <f t="shared" ref="AD86:AD89" si="9">-(Z65-Z86)/Z65*100</f>
        <v>-73.91693290734824</v>
      </c>
      <c r="AE86" s="56">
        <f t="shared" ref="AE86:AE89" si="10">(AA86-AA65)/AA65*100</f>
        <v>-72.251611597722089</v>
      </c>
      <c r="AG86" s="61"/>
      <c r="AH86" s="61"/>
    </row>
    <row r="87" spans="23:41" x14ac:dyDescent="0.3">
      <c r="W87" s="70"/>
      <c r="X87" s="71"/>
      <c r="Y87" s="4">
        <v>4</v>
      </c>
      <c r="Z87" s="2">
        <v>7589</v>
      </c>
      <c r="AA87" s="2">
        <v>11758</v>
      </c>
      <c r="AB87" s="36">
        <v>312</v>
      </c>
      <c r="AC87" s="36"/>
      <c r="AD87" s="59">
        <f t="shared" si="9"/>
        <v>-74.804953354802294</v>
      </c>
      <c r="AE87" s="56">
        <f t="shared" si="10"/>
        <v>-71.175014096246727</v>
      </c>
      <c r="AG87" s="61"/>
      <c r="AH87" s="61"/>
    </row>
    <row r="88" spans="23:41" x14ac:dyDescent="0.3">
      <c r="W88" s="70"/>
      <c r="X88" s="71"/>
      <c r="Y88" s="29">
        <v>5</v>
      </c>
      <c r="Z88" s="2">
        <v>8278</v>
      </c>
      <c r="AA88" s="2">
        <v>12595</v>
      </c>
      <c r="AB88" s="36">
        <v>308</v>
      </c>
      <c r="AC88" s="36"/>
      <c r="AD88" s="59">
        <f t="shared" si="9"/>
        <v>-71.380168718019647</v>
      </c>
      <c r="AE88" s="56">
        <f t="shared" si="10"/>
        <v>-69.961124758520356</v>
      </c>
      <c r="AG88"/>
      <c r="AH88"/>
      <c r="AI88"/>
      <c r="AJ88"/>
      <c r="AK88"/>
      <c r="AL88"/>
      <c r="AM88"/>
      <c r="AN88"/>
      <c r="AO88"/>
    </row>
    <row r="89" spans="23:41" ht="18" customHeight="1" x14ac:dyDescent="0.3">
      <c r="W89" s="70"/>
      <c r="X89" s="71"/>
      <c r="Y89" s="29">
        <v>8</v>
      </c>
      <c r="Z89" s="2">
        <v>9726</v>
      </c>
      <c r="AA89" s="2">
        <v>14880</v>
      </c>
      <c r="AB89" s="36">
        <v>322</v>
      </c>
      <c r="AC89" s="36"/>
      <c r="AD89" s="59">
        <f t="shared" si="9"/>
        <v>-72.130208034844401</v>
      </c>
      <c r="AE89" s="56">
        <f t="shared" si="10"/>
        <v>-70.440413993126612</v>
      </c>
      <c r="AG89"/>
      <c r="AH89"/>
      <c r="AI89"/>
      <c r="AJ89"/>
      <c r="AK89"/>
      <c r="AL89"/>
      <c r="AM89"/>
      <c r="AN89"/>
      <c r="AO89"/>
    </row>
    <row r="90" spans="23:41" ht="18.600000000000001" thickBot="1" x14ac:dyDescent="0.35">
      <c r="W90" s="72"/>
      <c r="X90" s="73"/>
      <c r="Y90" s="43">
        <v>16</v>
      </c>
      <c r="Z90" s="44">
        <v>16113</v>
      </c>
      <c r="AA90" s="44">
        <v>25042</v>
      </c>
      <c r="AB90" s="45">
        <v>368</v>
      </c>
      <c r="AC90" s="58">
        <v>60</v>
      </c>
      <c r="AD90" s="49">
        <f>-(Z69-Z90)/Z69*100</f>
        <v>-71.660979985226362</v>
      </c>
      <c r="AE90" s="50">
        <f>(AA90-AA69)/AA69*100</f>
        <v>-66.460409300332159</v>
      </c>
      <c r="AG90"/>
      <c r="AH90"/>
      <c r="AI90"/>
      <c r="AJ90"/>
      <c r="AK90"/>
      <c r="AL90"/>
      <c r="AM90"/>
      <c r="AN90"/>
      <c r="AO90"/>
    </row>
    <row r="91" spans="23:41" x14ac:dyDescent="0.3">
      <c r="AG91"/>
      <c r="AH91"/>
      <c r="AI91"/>
      <c r="AJ91"/>
      <c r="AK91"/>
      <c r="AL91"/>
      <c r="AM91"/>
      <c r="AN91"/>
      <c r="AO91"/>
    </row>
    <row r="92" spans="23:41" x14ac:dyDescent="0.3">
      <c r="AG92"/>
      <c r="AH92"/>
      <c r="AI92"/>
      <c r="AJ92"/>
      <c r="AK92"/>
      <c r="AL92"/>
      <c r="AM92"/>
      <c r="AN92"/>
      <c r="AO92"/>
    </row>
    <row r="93" spans="23:41" x14ac:dyDescent="0.3">
      <c r="AG93"/>
      <c r="AH93"/>
      <c r="AI93"/>
      <c r="AJ93"/>
      <c r="AK93"/>
      <c r="AL93"/>
      <c r="AM93"/>
      <c r="AN93"/>
      <c r="AO93"/>
    </row>
    <row r="94" spans="23:41" ht="18" customHeight="1" x14ac:dyDescent="0.3">
      <c r="AG94"/>
      <c r="AH94"/>
      <c r="AI94"/>
      <c r="AJ94"/>
      <c r="AK94"/>
      <c r="AL94"/>
      <c r="AM94"/>
      <c r="AN94"/>
      <c r="AO94"/>
    </row>
    <row r="95" spans="23:41" ht="18" customHeight="1" x14ac:dyDescent="0.3">
      <c r="AG95"/>
      <c r="AH95"/>
      <c r="AI95"/>
      <c r="AJ95"/>
      <c r="AK95"/>
      <c r="AL95"/>
      <c r="AM95"/>
      <c r="AN95"/>
      <c r="AO95"/>
    </row>
    <row r="96" spans="23:41" ht="18.600000000000001" customHeight="1" x14ac:dyDescent="0.3">
      <c r="AG96"/>
      <c r="AH96"/>
      <c r="AI96"/>
      <c r="AJ96"/>
      <c r="AK96"/>
      <c r="AL96"/>
      <c r="AM96"/>
      <c r="AN96"/>
      <c r="AO96"/>
    </row>
    <row r="97" spans="33:49" ht="21" customHeight="1" x14ac:dyDescent="0.3">
      <c r="AG97"/>
      <c r="AH97"/>
      <c r="AI97"/>
      <c r="AJ97"/>
      <c r="AK97"/>
      <c r="AL97"/>
      <c r="AM97"/>
      <c r="AN97"/>
      <c r="AO97"/>
    </row>
    <row r="98" spans="33:49" x14ac:dyDescent="0.3">
      <c r="AG98"/>
      <c r="AH98"/>
      <c r="AI98"/>
      <c r="AJ98"/>
      <c r="AK98"/>
      <c r="AL98"/>
      <c r="AM98"/>
      <c r="AN98"/>
      <c r="AO98"/>
    </row>
    <row r="99" spans="33:49" x14ac:dyDescent="0.3">
      <c r="AG99"/>
      <c r="AH99"/>
      <c r="AI99"/>
      <c r="AJ99"/>
      <c r="AK99"/>
      <c r="AL99"/>
      <c r="AM99"/>
      <c r="AN99"/>
      <c r="AO99"/>
    </row>
    <row r="100" spans="33:49" x14ac:dyDescent="0.3">
      <c r="AG100"/>
      <c r="AH100"/>
      <c r="AI100"/>
      <c r="AJ100"/>
      <c r="AK100"/>
      <c r="AL100"/>
      <c r="AM100"/>
      <c r="AN100"/>
      <c r="AO100"/>
    </row>
    <row r="101" spans="33:49" x14ac:dyDescent="0.3">
      <c r="AG101"/>
      <c r="AH101"/>
      <c r="AI101"/>
      <c r="AJ101"/>
      <c r="AK101"/>
      <c r="AL101"/>
      <c r="AM101"/>
      <c r="AN101"/>
      <c r="AO101"/>
    </row>
    <row r="102" spans="33:49" x14ac:dyDescent="0.3">
      <c r="AG102"/>
      <c r="AH102"/>
      <c r="AI102"/>
      <c r="AJ102"/>
      <c r="AK102"/>
      <c r="AL102"/>
      <c r="AM102"/>
      <c r="AN102"/>
      <c r="AO102"/>
    </row>
    <row r="103" spans="33:49" ht="21" customHeight="1" x14ac:dyDescent="0.3">
      <c r="AG103"/>
      <c r="AH103"/>
      <c r="AI103"/>
      <c r="AJ103"/>
      <c r="AK103"/>
      <c r="AL103"/>
      <c r="AM103"/>
      <c r="AN103"/>
      <c r="AO103"/>
    </row>
    <row r="104" spans="33:49" x14ac:dyDescent="0.3">
      <c r="AG104"/>
      <c r="AH104"/>
      <c r="AI104"/>
      <c r="AJ104"/>
      <c r="AK104"/>
      <c r="AL104"/>
      <c r="AM104"/>
      <c r="AN104"/>
      <c r="AO104"/>
    </row>
    <row r="108" spans="33:49" ht="65.400000000000006" customHeight="1" x14ac:dyDescent="0.3">
      <c r="AG108" s="129" t="s">
        <v>72</v>
      </c>
      <c r="AH108" s="129"/>
      <c r="AI108" s="64" t="s">
        <v>66</v>
      </c>
      <c r="AJ108" s="64" t="s">
        <v>67</v>
      </c>
      <c r="AK108" s="64" t="s">
        <v>68</v>
      </c>
      <c r="AL108" s="64" t="s">
        <v>71</v>
      </c>
      <c r="AM108" s="64" t="s">
        <v>65</v>
      </c>
      <c r="AN108" s="62"/>
      <c r="AO108" s="62"/>
      <c r="AQ108" s="130" t="s">
        <v>72</v>
      </c>
      <c r="AR108" s="130"/>
      <c r="AS108" s="63" t="s">
        <v>66</v>
      </c>
      <c r="AT108" s="63" t="s">
        <v>67</v>
      </c>
      <c r="AU108" s="63" t="s">
        <v>68</v>
      </c>
      <c r="AV108" s="63" t="s">
        <v>71</v>
      </c>
      <c r="AW108" s="63" t="s">
        <v>65</v>
      </c>
    </row>
    <row r="109" spans="33:49" ht="12" customHeight="1" x14ac:dyDescent="0.3">
      <c r="AG109" s="129" t="s">
        <v>69</v>
      </c>
      <c r="AH109" s="129"/>
      <c r="AI109" s="65">
        <v>2</v>
      </c>
      <c r="AJ109" s="65">
        <v>18809</v>
      </c>
      <c r="AK109" s="65">
        <v>17887</v>
      </c>
      <c r="AL109" s="65">
        <v>417</v>
      </c>
      <c r="AM109" s="65">
        <v>25</v>
      </c>
      <c r="AN109" s="62"/>
      <c r="AO109" s="62"/>
      <c r="AQ109" s="131" t="s">
        <v>69</v>
      </c>
      <c r="AR109" s="132"/>
      <c r="AS109" s="65">
        <v>2</v>
      </c>
      <c r="AT109" s="65">
        <v>141432</v>
      </c>
      <c r="AU109" s="65">
        <v>141913</v>
      </c>
      <c r="AV109" s="65">
        <v>306</v>
      </c>
      <c r="AW109" s="65">
        <v>80</v>
      </c>
    </row>
    <row r="110" spans="33:49" ht="12" customHeight="1" x14ac:dyDescent="0.3">
      <c r="AG110" s="129"/>
      <c r="AH110" s="129"/>
      <c r="AI110" s="65">
        <v>3</v>
      </c>
      <c r="AJ110" s="65">
        <v>23475</v>
      </c>
      <c r="AK110" s="65">
        <v>34593</v>
      </c>
      <c r="AL110" s="65">
        <v>316</v>
      </c>
      <c r="AM110" s="65">
        <v>31</v>
      </c>
      <c r="AN110" s="62"/>
      <c r="AO110" s="62"/>
      <c r="AQ110" s="133"/>
      <c r="AR110" s="134"/>
      <c r="AS110" s="65">
        <v>3</v>
      </c>
      <c r="AT110" s="65">
        <v>227005</v>
      </c>
      <c r="AU110" s="65">
        <v>245202</v>
      </c>
      <c r="AV110" s="65" t="s">
        <v>73</v>
      </c>
      <c r="AW110" s="65">
        <v>92</v>
      </c>
    </row>
    <row r="111" spans="33:49" ht="12" customHeight="1" x14ac:dyDescent="0.3">
      <c r="AG111" s="129"/>
      <c r="AH111" s="129"/>
      <c r="AI111" s="65">
        <v>4</v>
      </c>
      <c r="AJ111" s="65">
        <v>30121</v>
      </c>
      <c r="AK111" s="65">
        <v>40791</v>
      </c>
      <c r="AL111" s="65">
        <v>315</v>
      </c>
      <c r="AM111" s="65">
        <v>31</v>
      </c>
      <c r="AN111" s="62"/>
      <c r="AO111" s="62"/>
      <c r="AQ111" s="130" t="s">
        <v>70</v>
      </c>
      <c r="AR111" s="130"/>
      <c r="AS111" s="65">
        <v>2</v>
      </c>
      <c r="AT111" s="65">
        <v>33202</v>
      </c>
      <c r="AU111" s="65">
        <v>99066</v>
      </c>
      <c r="AV111" s="65">
        <v>351</v>
      </c>
      <c r="AW111" s="65">
        <v>132</v>
      </c>
    </row>
    <row r="112" spans="33:49" ht="12" customHeight="1" x14ac:dyDescent="0.3">
      <c r="AG112" s="129"/>
      <c r="AH112" s="129"/>
      <c r="AI112" s="64">
        <v>5</v>
      </c>
      <c r="AJ112" s="65">
        <v>28924</v>
      </c>
      <c r="AK112" s="65">
        <v>41929</v>
      </c>
      <c r="AL112" s="65">
        <v>305</v>
      </c>
      <c r="AM112" s="65">
        <v>40</v>
      </c>
      <c r="AN112" s="62"/>
      <c r="AQ112" s="130"/>
      <c r="AR112" s="130"/>
      <c r="AS112" s="65">
        <v>3</v>
      </c>
      <c r="AT112" s="65">
        <v>44398</v>
      </c>
      <c r="AU112" s="65">
        <v>133626</v>
      </c>
      <c r="AV112" s="65">
        <v>305</v>
      </c>
      <c r="AW112" s="65">
        <v>144</v>
      </c>
    </row>
    <row r="113" spans="33:49" ht="12" customHeight="1" x14ac:dyDescent="0.3">
      <c r="AG113" s="129"/>
      <c r="AH113" s="129"/>
      <c r="AI113" s="64">
        <v>8</v>
      </c>
      <c r="AJ113" s="65">
        <v>34898</v>
      </c>
      <c r="AK113" s="65">
        <v>50339</v>
      </c>
      <c r="AL113" s="65">
        <v>322</v>
      </c>
      <c r="AM113" s="65">
        <v>44</v>
      </c>
      <c r="AN113" s="62"/>
      <c r="AQ113" s="130"/>
      <c r="AR113" s="130"/>
      <c r="AS113" s="65">
        <v>4</v>
      </c>
      <c r="AT113" s="65">
        <v>58104</v>
      </c>
      <c r="AU113" s="65">
        <v>162790</v>
      </c>
      <c r="AV113" s="65">
        <v>302</v>
      </c>
      <c r="AW113" s="65">
        <v>144</v>
      </c>
    </row>
    <row r="114" spans="33:49" ht="12" customHeight="1" x14ac:dyDescent="0.3">
      <c r="AG114" s="129"/>
      <c r="AH114" s="129"/>
      <c r="AI114" s="64">
        <v>16</v>
      </c>
      <c r="AJ114" s="65">
        <v>56858</v>
      </c>
      <c r="AK114" s="65">
        <v>74664</v>
      </c>
      <c r="AL114" s="65">
        <v>329</v>
      </c>
      <c r="AM114" s="65">
        <v>44</v>
      </c>
      <c r="AN114" s="62"/>
      <c r="AQ114" s="130"/>
      <c r="AR114" s="130"/>
      <c r="AS114" s="65">
        <v>5</v>
      </c>
      <c r="AT114" s="65">
        <v>91843</v>
      </c>
      <c r="AU114" s="65">
        <v>202514</v>
      </c>
      <c r="AV114" s="65">
        <v>300</v>
      </c>
      <c r="AW114" s="65">
        <v>179</v>
      </c>
    </row>
    <row r="115" spans="33:49" ht="12" customHeight="1" x14ac:dyDescent="0.3">
      <c r="AG115" s="129" t="s">
        <v>70</v>
      </c>
      <c r="AH115" s="129"/>
      <c r="AI115" s="65">
        <v>2</v>
      </c>
      <c r="AJ115" s="65">
        <v>5301</v>
      </c>
      <c r="AK115" s="65">
        <v>7205</v>
      </c>
      <c r="AL115" s="65">
        <v>430</v>
      </c>
      <c r="AM115" s="65">
        <f>AM109+17</f>
        <v>42</v>
      </c>
      <c r="AQ115" s="130"/>
      <c r="AR115" s="130"/>
      <c r="AS115" s="65">
        <v>8</v>
      </c>
      <c r="AT115" s="65">
        <v>105331</v>
      </c>
      <c r="AU115" s="65">
        <v>232964</v>
      </c>
      <c r="AV115" s="65">
        <v>309</v>
      </c>
      <c r="AW115" s="65">
        <v>189</v>
      </c>
    </row>
    <row r="116" spans="33:49" ht="12" customHeight="1" x14ac:dyDescent="0.3">
      <c r="AG116" s="129"/>
      <c r="AH116" s="129"/>
      <c r="AI116" s="65">
        <v>3</v>
      </c>
      <c r="AJ116" s="65">
        <v>6123</v>
      </c>
      <c r="AK116" s="65">
        <v>9599</v>
      </c>
      <c r="AL116" s="65">
        <v>321</v>
      </c>
      <c r="AM116" s="65">
        <f t="shared" ref="AM116:AM120" si="11">AM110+17</f>
        <v>48</v>
      </c>
      <c r="AQ116" s="130"/>
      <c r="AR116" s="130"/>
      <c r="AS116" s="65">
        <v>16</v>
      </c>
      <c r="AT116" s="65">
        <v>262644</v>
      </c>
      <c r="AU116" s="65">
        <v>531764</v>
      </c>
      <c r="AV116" s="65" t="s">
        <v>73</v>
      </c>
      <c r="AW116" s="65">
        <v>224</v>
      </c>
    </row>
    <row r="117" spans="33:49" ht="12" customHeight="1" x14ac:dyDescent="0.3">
      <c r="AG117" s="129"/>
      <c r="AH117" s="129"/>
      <c r="AI117" s="65">
        <v>4</v>
      </c>
      <c r="AJ117" s="65">
        <v>7589</v>
      </c>
      <c r="AK117" s="65">
        <v>11758</v>
      </c>
      <c r="AL117" s="65">
        <v>317</v>
      </c>
      <c r="AM117" s="65">
        <f t="shared" si="11"/>
        <v>48</v>
      </c>
    </row>
    <row r="118" spans="33:49" ht="12" customHeight="1" x14ac:dyDescent="0.3">
      <c r="AG118" s="129"/>
      <c r="AH118" s="129"/>
      <c r="AI118" s="64">
        <v>5</v>
      </c>
      <c r="AJ118" s="65">
        <v>8278</v>
      </c>
      <c r="AK118" s="65">
        <v>12595</v>
      </c>
      <c r="AL118" s="65">
        <v>308</v>
      </c>
      <c r="AM118" s="65">
        <f t="shared" si="11"/>
        <v>57</v>
      </c>
    </row>
    <row r="119" spans="33:49" ht="12" customHeight="1" x14ac:dyDescent="0.3">
      <c r="AG119" s="129"/>
      <c r="AH119" s="129"/>
      <c r="AI119" s="64">
        <v>8</v>
      </c>
      <c r="AJ119" s="65">
        <v>9726</v>
      </c>
      <c r="AK119" s="65">
        <v>14880</v>
      </c>
      <c r="AL119" s="65">
        <v>322</v>
      </c>
      <c r="AM119" s="65">
        <f t="shared" si="11"/>
        <v>61</v>
      </c>
    </row>
    <row r="120" spans="33:49" ht="12" customHeight="1" x14ac:dyDescent="0.3">
      <c r="AG120" s="129"/>
      <c r="AH120" s="129"/>
      <c r="AI120" s="64">
        <v>16</v>
      </c>
      <c r="AJ120" s="65">
        <v>16113</v>
      </c>
      <c r="AK120" s="65">
        <v>25042</v>
      </c>
      <c r="AL120" s="65">
        <v>368</v>
      </c>
      <c r="AM120" s="65">
        <f t="shared" si="11"/>
        <v>61</v>
      </c>
    </row>
    <row r="121" spans="33:49" x14ac:dyDescent="0.3">
      <c r="AN121"/>
      <c r="AO121"/>
    </row>
    <row r="122" spans="33:49" x14ac:dyDescent="0.3">
      <c r="AN122"/>
      <c r="AO122"/>
    </row>
    <row r="123" spans="33:49" x14ac:dyDescent="0.3">
      <c r="AN123"/>
      <c r="AO123"/>
    </row>
    <row r="124" spans="33:49" x14ac:dyDescent="0.3">
      <c r="AN124"/>
      <c r="AO124"/>
    </row>
    <row r="125" spans="33:49" x14ac:dyDescent="0.3">
      <c r="AN125"/>
      <c r="AO125"/>
    </row>
    <row r="126" spans="33:49" x14ac:dyDescent="0.3">
      <c r="AN126"/>
      <c r="AO126"/>
    </row>
    <row r="127" spans="33:49" x14ac:dyDescent="0.3">
      <c r="AN127"/>
      <c r="AO127"/>
      <c r="AQ127"/>
      <c r="AR127"/>
      <c r="AS127"/>
      <c r="AT127"/>
      <c r="AU127"/>
      <c r="AV127"/>
      <c r="AW127"/>
    </row>
    <row r="128" spans="33:49" x14ac:dyDescent="0.3">
      <c r="AQ128"/>
      <c r="AR128"/>
      <c r="AS128"/>
      <c r="AT128"/>
      <c r="AU128"/>
      <c r="AV128"/>
      <c r="AW128"/>
    </row>
    <row r="129" spans="43:51" x14ac:dyDescent="0.3">
      <c r="AQ129"/>
      <c r="AR129"/>
      <c r="AS129"/>
      <c r="AT129"/>
      <c r="AU129"/>
      <c r="AV129"/>
      <c r="AW129"/>
    </row>
    <row r="130" spans="43:51" ht="62.4" x14ac:dyDescent="0.3">
      <c r="AQ130" s="130" t="s">
        <v>72</v>
      </c>
      <c r="AR130" s="130"/>
      <c r="AS130" s="63" t="s">
        <v>66</v>
      </c>
      <c r="AT130" s="63" t="s">
        <v>67</v>
      </c>
      <c r="AU130" s="63" t="s">
        <v>68</v>
      </c>
      <c r="AV130" s="63" t="s">
        <v>71</v>
      </c>
      <c r="AW130" s="63" t="s">
        <v>65</v>
      </c>
    </row>
    <row r="131" spans="43:51" x14ac:dyDescent="0.3">
      <c r="AQ131" s="130" t="s">
        <v>69</v>
      </c>
      <c r="AR131" s="130"/>
      <c r="AS131" s="65">
        <v>2</v>
      </c>
      <c r="AT131" s="65">
        <v>62764</v>
      </c>
      <c r="AU131" s="65">
        <v>59682</v>
      </c>
      <c r="AV131" s="65">
        <v>331</v>
      </c>
      <c r="AW131" s="65">
        <v>34</v>
      </c>
    </row>
    <row r="132" spans="43:51" ht="18" customHeight="1" x14ac:dyDescent="0.3">
      <c r="AQ132" s="130"/>
      <c r="AR132" s="130"/>
      <c r="AS132" s="65">
        <v>3</v>
      </c>
      <c r="AT132" s="66">
        <v>76297</v>
      </c>
      <c r="AU132" s="66">
        <v>82110</v>
      </c>
      <c r="AV132" s="66">
        <v>303</v>
      </c>
      <c r="AW132" s="65">
        <v>40</v>
      </c>
    </row>
    <row r="133" spans="43:51" x14ac:dyDescent="0.3">
      <c r="AQ133" s="130"/>
      <c r="AR133" s="130"/>
      <c r="AS133" s="65">
        <v>4</v>
      </c>
      <c r="AT133" s="66">
        <v>102637</v>
      </c>
      <c r="AU133" s="66">
        <v>103139</v>
      </c>
      <c r="AV133" s="66">
        <v>298</v>
      </c>
      <c r="AW133" s="65">
        <v>40</v>
      </c>
    </row>
    <row r="134" spans="43:51" x14ac:dyDescent="0.3">
      <c r="AQ134" s="130"/>
      <c r="AR134" s="130"/>
      <c r="AS134" s="64">
        <v>5</v>
      </c>
      <c r="AT134" s="66">
        <v>157548</v>
      </c>
      <c r="AU134" s="66">
        <v>168731</v>
      </c>
      <c r="AV134" s="66">
        <v>310</v>
      </c>
      <c r="AW134" s="65">
        <f>78-26</f>
        <v>52</v>
      </c>
    </row>
    <row r="135" spans="43:51" x14ac:dyDescent="0.3">
      <c r="AQ135" s="130"/>
      <c r="AR135" s="130"/>
      <c r="AS135" s="64">
        <v>8</v>
      </c>
      <c r="AT135" s="65">
        <v>186808</v>
      </c>
      <c r="AU135" s="65">
        <v>204566</v>
      </c>
      <c r="AV135" s="65">
        <v>308</v>
      </c>
      <c r="AW135" s="65">
        <v>57</v>
      </c>
    </row>
    <row r="136" spans="43:51" x14ac:dyDescent="0.3">
      <c r="AQ136" s="130"/>
      <c r="AR136" s="130"/>
      <c r="AS136" s="65">
        <v>16</v>
      </c>
      <c r="AT136" s="65">
        <v>456817</v>
      </c>
      <c r="AU136" s="65">
        <v>448421</v>
      </c>
      <c r="AV136" s="65" t="s">
        <v>73</v>
      </c>
      <c r="AW136" s="65">
        <v>68</v>
      </c>
    </row>
    <row r="137" spans="43:51" ht="18" customHeight="1" x14ac:dyDescent="0.3">
      <c r="AQ137" s="130" t="s">
        <v>70</v>
      </c>
      <c r="AR137" s="130"/>
      <c r="AS137" s="65">
        <v>2</v>
      </c>
      <c r="AT137" s="65">
        <v>15702</v>
      </c>
      <c r="AU137" s="65">
        <v>21154</v>
      </c>
      <c r="AV137" s="65">
        <v>437</v>
      </c>
      <c r="AW137" s="65">
        <v>60</v>
      </c>
    </row>
    <row r="138" spans="43:51" ht="18" customHeight="1" x14ac:dyDescent="0.3">
      <c r="AQ138" s="130"/>
      <c r="AR138" s="130"/>
      <c r="AS138" s="65">
        <v>3</v>
      </c>
      <c r="AT138" s="66">
        <v>18507</v>
      </c>
      <c r="AU138" s="66">
        <v>27108</v>
      </c>
      <c r="AV138" s="66">
        <v>311</v>
      </c>
      <c r="AW138" s="65">
        <v>66</v>
      </c>
    </row>
    <row r="139" spans="43:51" x14ac:dyDescent="0.3">
      <c r="AQ139" s="130"/>
      <c r="AR139" s="130"/>
      <c r="AS139" s="65">
        <v>4</v>
      </c>
      <c r="AT139" s="66">
        <v>23088</v>
      </c>
      <c r="AU139" s="66">
        <v>33154</v>
      </c>
      <c r="AV139" s="66">
        <v>305</v>
      </c>
      <c r="AW139" s="65">
        <v>66</v>
      </c>
    </row>
    <row r="140" spans="43:51" x14ac:dyDescent="0.3">
      <c r="AQ140" s="130"/>
      <c r="AR140" s="130"/>
      <c r="AS140" s="64">
        <v>5</v>
      </c>
      <c r="AT140" s="65">
        <v>30171</v>
      </c>
      <c r="AU140" s="65">
        <v>41800</v>
      </c>
      <c r="AV140" s="65">
        <v>297</v>
      </c>
      <c r="AW140" s="65">
        <v>78</v>
      </c>
    </row>
    <row r="141" spans="43:51" x14ac:dyDescent="0.3">
      <c r="AQ141" s="130"/>
      <c r="AR141" s="130"/>
      <c r="AS141" s="64">
        <v>8</v>
      </c>
      <c r="AT141" s="65">
        <v>36635</v>
      </c>
      <c r="AU141" s="65">
        <v>48979</v>
      </c>
      <c r="AV141" s="65">
        <v>309</v>
      </c>
      <c r="AW141" s="65">
        <v>83</v>
      </c>
    </row>
    <row r="142" spans="43:51" x14ac:dyDescent="0.3">
      <c r="AQ142" s="130"/>
      <c r="AR142" s="130"/>
      <c r="AS142" s="65">
        <v>16</v>
      </c>
      <c r="AT142" s="65">
        <v>77215</v>
      </c>
      <c r="AU142" s="65">
        <v>104233</v>
      </c>
      <c r="AV142" s="65">
        <v>301</v>
      </c>
      <c r="AW142" s="65">
        <v>94</v>
      </c>
    </row>
    <row r="143" spans="43:51" x14ac:dyDescent="0.3">
      <c r="AY143" s="1">
        <f>-(AT136-AT142)/AT136*100</f>
        <v>-83.097170201634356</v>
      </c>
    </row>
  </sheetData>
  <mergeCells count="69">
    <mergeCell ref="AQ137:AR142"/>
    <mergeCell ref="AQ131:AR136"/>
    <mergeCell ref="AQ111:AR116"/>
    <mergeCell ref="AG109:AH114"/>
    <mergeCell ref="AG115:AH120"/>
    <mergeCell ref="AG108:AH108"/>
    <mergeCell ref="AQ130:AR130"/>
    <mergeCell ref="AQ109:AR110"/>
    <mergeCell ref="AQ108:AR108"/>
    <mergeCell ref="E27:N29"/>
    <mergeCell ref="W51:X56"/>
    <mergeCell ref="W48:AE50"/>
    <mergeCell ref="D10:E10"/>
    <mergeCell ref="F10:G10"/>
    <mergeCell ref="N48:T50"/>
    <mergeCell ref="N51:O57"/>
    <mergeCell ref="S18:U20"/>
    <mergeCell ref="N13:P15"/>
    <mergeCell ref="H17:J17"/>
    <mergeCell ref="H18:J20"/>
    <mergeCell ref="E21:F24"/>
    <mergeCell ref="K17:M17"/>
    <mergeCell ref="K18:M20"/>
    <mergeCell ref="O21:P24"/>
    <mergeCell ref="X21:Y24"/>
    <mergeCell ref="AC3:AE3"/>
    <mergeCell ref="AC4:AE6"/>
    <mergeCell ref="Z3:AB3"/>
    <mergeCell ref="Z4:AB6"/>
    <mergeCell ref="W4:Y6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AH18:AJ20"/>
    <mergeCell ref="AE21:AF24"/>
    <mergeCell ref="S27:AB29"/>
    <mergeCell ref="W70:X76"/>
    <mergeCell ref="S38:T45"/>
    <mergeCell ref="AA18:AC20"/>
    <mergeCell ref="E30:F37"/>
    <mergeCell ref="W60:AC62"/>
    <mergeCell ref="W63:X69"/>
    <mergeCell ref="AC37:AD37"/>
    <mergeCell ref="S30:T37"/>
    <mergeCell ref="E48:K50"/>
    <mergeCell ref="E51:F57"/>
    <mergeCell ref="E58:F64"/>
    <mergeCell ref="N58:O64"/>
    <mergeCell ref="W77:X83"/>
    <mergeCell ref="E38:F45"/>
    <mergeCell ref="W84:X9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2026-06-03T12:37:14Z</dcterms:modified>
</cp:coreProperties>
</file>